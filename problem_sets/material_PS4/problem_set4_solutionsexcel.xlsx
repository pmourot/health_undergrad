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mourot/Dropbox/Pauline/Teaching/Undergraduate_class/health_undergrad/problem_sets/material_PS4/"/>
    </mc:Choice>
  </mc:AlternateContent>
  <xr:revisionPtr revIDLastSave="0" documentId="13_ncr:1_{11A60D19-1EEB-5142-955F-B2F1D6AB7CB7}" xr6:coauthVersionLast="47" xr6:coauthVersionMax="47" xr10:uidLastSave="{00000000-0000-0000-0000-000000000000}"/>
  <bookViews>
    <workbookView xWindow="4200" yWindow="680" windowWidth="27880" windowHeight="20300" xr2:uid="{848F8585-93AD-4E7E-99DA-250D73699297}"/>
  </bookViews>
  <sheets>
    <sheet name="graphs" sheetId="1" r:id="rId1"/>
    <sheet name="mandate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" i="3" l="1"/>
  <c r="O2" i="3"/>
  <c r="S2" i="1"/>
  <c r="Q2" i="1"/>
  <c r="Q3" i="1"/>
  <c r="Q4" i="1"/>
  <c r="Q5" i="1"/>
  <c r="Q6" i="1"/>
  <c r="Q7" i="1"/>
  <c r="P2" i="1"/>
  <c r="O2" i="1"/>
  <c r="N3" i="1"/>
  <c r="E2" i="1"/>
  <c r="F2" i="1"/>
  <c r="G2" i="1"/>
  <c r="H2" i="1" s="1"/>
  <c r="O34" i="3"/>
  <c r="O43" i="3"/>
  <c r="O50" i="3"/>
  <c r="M3" i="3"/>
  <c r="M13" i="3"/>
  <c r="J51" i="3"/>
  <c r="I51" i="3"/>
  <c r="M51" i="3" s="1"/>
  <c r="F51" i="3"/>
  <c r="G51" i="3" s="1"/>
  <c r="E51" i="3"/>
  <c r="C51" i="3"/>
  <c r="O51" i="3" s="1"/>
  <c r="J50" i="3"/>
  <c r="I50" i="3"/>
  <c r="M50" i="3" s="1"/>
  <c r="F50" i="3"/>
  <c r="G50" i="3" s="1"/>
  <c r="E50" i="3"/>
  <c r="C50" i="3"/>
  <c r="J49" i="3"/>
  <c r="I49" i="3"/>
  <c r="M49" i="3" s="1"/>
  <c r="F49" i="3"/>
  <c r="G49" i="3" s="1"/>
  <c r="E49" i="3"/>
  <c r="C49" i="3"/>
  <c r="O49" i="3" s="1"/>
  <c r="J48" i="3"/>
  <c r="I48" i="3"/>
  <c r="M48" i="3" s="1"/>
  <c r="F48" i="3"/>
  <c r="G48" i="3" s="1"/>
  <c r="E48" i="3"/>
  <c r="C48" i="3"/>
  <c r="O48" i="3" s="1"/>
  <c r="J47" i="3"/>
  <c r="I47" i="3"/>
  <c r="M47" i="3" s="1"/>
  <c r="F47" i="3"/>
  <c r="G47" i="3" s="1"/>
  <c r="E47" i="3"/>
  <c r="C47" i="3"/>
  <c r="O47" i="3" s="1"/>
  <c r="J46" i="3"/>
  <c r="I46" i="3"/>
  <c r="M46" i="3" s="1"/>
  <c r="F46" i="3"/>
  <c r="G46" i="3" s="1"/>
  <c r="E46" i="3"/>
  <c r="C46" i="3"/>
  <c r="O46" i="3" s="1"/>
  <c r="J45" i="3"/>
  <c r="I45" i="3"/>
  <c r="M45" i="3" s="1"/>
  <c r="F45" i="3"/>
  <c r="G45" i="3" s="1"/>
  <c r="E45" i="3"/>
  <c r="C45" i="3"/>
  <c r="O45" i="3" s="1"/>
  <c r="J44" i="3"/>
  <c r="I44" i="3"/>
  <c r="M44" i="3" s="1"/>
  <c r="F44" i="3"/>
  <c r="G44" i="3" s="1"/>
  <c r="E44" i="3"/>
  <c r="C44" i="3"/>
  <c r="J43" i="3"/>
  <c r="I43" i="3"/>
  <c r="M43" i="3" s="1"/>
  <c r="F43" i="3"/>
  <c r="G43" i="3" s="1"/>
  <c r="E43" i="3"/>
  <c r="C43" i="3"/>
  <c r="J42" i="3"/>
  <c r="I42" i="3"/>
  <c r="M42" i="3" s="1"/>
  <c r="F42" i="3"/>
  <c r="G42" i="3" s="1"/>
  <c r="E42" i="3"/>
  <c r="C42" i="3"/>
  <c r="O42" i="3" s="1"/>
  <c r="J41" i="3"/>
  <c r="I41" i="3"/>
  <c r="M41" i="3" s="1"/>
  <c r="F41" i="3"/>
  <c r="G41" i="3" s="1"/>
  <c r="E41" i="3"/>
  <c r="C41" i="3"/>
  <c r="O41" i="3" s="1"/>
  <c r="J40" i="3"/>
  <c r="I40" i="3"/>
  <c r="M40" i="3" s="1"/>
  <c r="F40" i="3"/>
  <c r="G40" i="3" s="1"/>
  <c r="E40" i="3"/>
  <c r="C40" i="3"/>
  <c r="H40" i="3" s="1"/>
  <c r="J39" i="3"/>
  <c r="I39" i="3"/>
  <c r="M39" i="3" s="1"/>
  <c r="F39" i="3"/>
  <c r="G39" i="3" s="1"/>
  <c r="E39" i="3"/>
  <c r="C39" i="3"/>
  <c r="O39" i="3" s="1"/>
  <c r="J38" i="3"/>
  <c r="I38" i="3"/>
  <c r="M38" i="3" s="1"/>
  <c r="F38" i="3"/>
  <c r="G38" i="3" s="1"/>
  <c r="E38" i="3"/>
  <c r="C38" i="3"/>
  <c r="O38" i="3" s="1"/>
  <c r="J37" i="3"/>
  <c r="I37" i="3"/>
  <c r="M37" i="3" s="1"/>
  <c r="F37" i="3"/>
  <c r="G37" i="3" s="1"/>
  <c r="E37" i="3"/>
  <c r="C37" i="3"/>
  <c r="J36" i="3"/>
  <c r="I36" i="3"/>
  <c r="M36" i="3" s="1"/>
  <c r="F36" i="3"/>
  <c r="G36" i="3" s="1"/>
  <c r="E36" i="3"/>
  <c r="C36" i="3"/>
  <c r="J35" i="3"/>
  <c r="I35" i="3"/>
  <c r="M35" i="3" s="1"/>
  <c r="F35" i="3"/>
  <c r="G35" i="3" s="1"/>
  <c r="E35" i="3"/>
  <c r="C35" i="3"/>
  <c r="O35" i="3" s="1"/>
  <c r="J34" i="3"/>
  <c r="I34" i="3"/>
  <c r="M34" i="3" s="1"/>
  <c r="F34" i="3"/>
  <c r="G34" i="3" s="1"/>
  <c r="E34" i="3"/>
  <c r="C34" i="3"/>
  <c r="J33" i="3"/>
  <c r="I33" i="3"/>
  <c r="M33" i="3" s="1"/>
  <c r="F33" i="3"/>
  <c r="G33" i="3" s="1"/>
  <c r="E33" i="3"/>
  <c r="C33" i="3"/>
  <c r="O33" i="3" s="1"/>
  <c r="J32" i="3"/>
  <c r="I32" i="3"/>
  <c r="M32" i="3" s="1"/>
  <c r="F32" i="3"/>
  <c r="G32" i="3" s="1"/>
  <c r="E32" i="3"/>
  <c r="C32" i="3"/>
  <c r="O32" i="3" s="1"/>
  <c r="J31" i="3"/>
  <c r="I31" i="3"/>
  <c r="M31" i="3" s="1"/>
  <c r="F31" i="3"/>
  <c r="G31" i="3" s="1"/>
  <c r="E31" i="3"/>
  <c r="C31" i="3"/>
  <c r="O31" i="3" s="1"/>
  <c r="J30" i="3"/>
  <c r="I30" i="3"/>
  <c r="M30" i="3" s="1"/>
  <c r="F30" i="3"/>
  <c r="G30" i="3" s="1"/>
  <c r="E30" i="3"/>
  <c r="C30" i="3"/>
  <c r="J29" i="3"/>
  <c r="I29" i="3"/>
  <c r="M29" i="3" s="1"/>
  <c r="F29" i="3"/>
  <c r="G29" i="3" s="1"/>
  <c r="E29" i="3"/>
  <c r="C29" i="3"/>
  <c r="O29" i="3" s="1"/>
  <c r="J28" i="3"/>
  <c r="I28" i="3"/>
  <c r="M28" i="3" s="1"/>
  <c r="F28" i="3"/>
  <c r="G28" i="3" s="1"/>
  <c r="E28" i="3"/>
  <c r="C28" i="3"/>
  <c r="O28" i="3" s="1"/>
  <c r="J27" i="3"/>
  <c r="I27" i="3"/>
  <c r="M27" i="3" s="1"/>
  <c r="F27" i="3"/>
  <c r="G27" i="3" s="1"/>
  <c r="E27" i="3"/>
  <c r="C27" i="3"/>
  <c r="O27" i="3" s="1"/>
  <c r="J26" i="3"/>
  <c r="I26" i="3"/>
  <c r="M26" i="3" s="1"/>
  <c r="F26" i="3"/>
  <c r="G26" i="3" s="1"/>
  <c r="E26" i="3"/>
  <c r="C26" i="3"/>
  <c r="O26" i="3" s="1"/>
  <c r="J25" i="3"/>
  <c r="I25" i="3"/>
  <c r="M25" i="3" s="1"/>
  <c r="F25" i="3"/>
  <c r="G25" i="3" s="1"/>
  <c r="E25" i="3"/>
  <c r="C25" i="3"/>
  <c r="O25" i="3" s="1"/>
  <c r="J24" i="3"/>
  <c r="I24" i="3"/>
  <c r="M24" i="3" s="1"/>
  <c r="F24" i="3"/>
  <c r="G24" i="3" s="1"/>
  <c r="E24" i="3"/>
  <c r="C24" i="3"/>
  <c r="O24" i="3" s="1"/>
  <c r="J23" i="3"/>
  <c r="I23" i="3"/>
  <c r="M23" i="3" s="1"/>
  <c r="F23" i="3"/>
  <c r="G23" i="3" s="1"/>
  <c r="E23" i="3"/>
  <c r="C23" i="3"/>
  <c r="O23" i="3" s="1"/>
  <c r="J22" i="3"/>
  <c r="I22" i="3"/>
  <c r="M22" i="3" s="1"/>
  <c r="F22" i="3"/>
  <c r="G22" i="3" s="1"/>
  <c r="E22" i="3"/>
  <c r="C22" i="3"/>
  <c r="J21" i="3"/>
  <c r="I21" i="3"/>
  <c r="M21" i="3" s="1"/>
  <c r="F21" i="3"/>
  <c r="G21" i="3" s="1"/>
  <c r="E21" i="3"/>
  <c r="C21" i="3"/>
  <c r="O21" i="3" s="1"/>
  <c r="J20" i="3"/>
  <c r="I20" i="3"/>
  <c r="M20" i="3" s="1"/>
  <c r="F20" i="3"/>
  <c r="G20" i="3" s="1"/>
  <c r="E20" i="3"/>
  <c r="C20" i="3"/>
  <c r="O20" i="3" s="1"/>
  <c r="J19" i="3"/>
  <c r="I19" i="3"/>
  <c r="M19" i="3" s="1"/>
  <c r="F19" i="3"/>
  <c r="G19" i="3" s="1"/>
  <c r="E19" i="3"/>
  <c r="C19" i="3"/>
  <c r="O19" i="3" s="1"/>
  <c r="J18" i="3"/>
  <c r="I18" i="3"/>
  <c r="M18" i="3" s="1"/>
  <c r="F18" i="3"/>
  <c r="G18" i="3" s="1"/>
  <c r="E18" i="3"/>
  <c r="C18" i="3"/>
  <c r="O18" i="3" s="1"/>
  <c r="J17" i="3"/>
  <c r="I17" i="3"/>
  <c r="M17" i="3" s="1"/>
  <c r="F17" i="3"/>
  <c r="G17" i="3" s="1"/>
  <c r="E17" i="3"/>
  <c r="C17" i="3"/>
  <c r="O17" i="3" s="1"/>
  <c r="J16" i="3"/>
  <c r="I16" i="3"/>
  <c r="M16" i="3" s="1"/>
  <c r="F16" i="3"/>
  <c r="G16" i="3" s="1"/>
  <c r="E16" i="3"/>
  <c r="C16" i="3"/>
  <c r="O16" i="3" s="1"/>
  <c r="J15" i="3"/>
  <c r="I15" i="3"/>
  <c r="M15" i="3" s="1"/>
  <c r="F15" i="3"/>
  <c r="G15" i="3" s="1"/>
  <c r="E15" i="3"/>
  <c r="C15" i="3"/>
  <c r="O15" i="3" s="1"/>
  <c r="J14" i="3"/>
  <c r="I14" i="3"/>
  <c r="M14" i="3" s="1"/>
  <c r="F14" i="3"/>
  <c r="G14" i="3" s="1"/>
  <c r="E14" i="3"/>
  <c r="C14" i="3"/>
  <c r="O14" i="3" s="1"/>
  <c r="J13" i="3"/>
  <c r="I13" i="3"/>
  <c r="F13" i="3"/>
  <c r="G13" i="3" s="1"/>
  <c r="E13" i="3"/>
  <c r="C13" i="3"/>
  <c r="O13" i="3" s="1"/>
  <c r="J12" i="3"/>
  <c r="I12" i="3"/>
  <c r="M12" i="3" s="1"/>
  <c r="F12" i="3"/>
  <c r="G12" i="3" s="1"/>
  <c r="E12" i="3"/>
  <c r="C12" i="3"/>
  <c r="O12" i="3" s="1"/>
  <c r="J11" i="3"/>
  <c r="I11" i="3"/>
  <c r="M11" i="3" s="1"/>
  <c r="F11" i="3"/>
  <c r="G11" i="3" s="1"/>
  <c r="E11" i="3"/>
  <c r="C11" i="3"/>
  <c r="O11" i="3" s="1"/>
  <c r="J10" i="3"/>
  <c r="I10" i="3"/>
  <c r="M10" i="3" s="1"/>
  <c r="F10" i="3"/>
  <c r="G10" i="3" s="1"/>
  <c r="E10" i="3"/>
  <c r="C10" i="3"/>
  <c r="O10" i="3" s="1"/>
  <c r="J9" i="3"/>
  <c r="I9" i="3"/>
  <c r="M9" i="3" s="1"/>
  <c r="F9" i="3"/>
  <c r="G9" i="3" s="1"/>
  <c r="E9" i="3"/>
  <c r="C9" i="3"/>
  <c r="O9" i="3" s="1"/>
  <c r="J8" i="3"/>
  <c r="I8" i="3"/>
  <c r="M8" i="3" s="1"/>
  <c r="F8" i="3"/>
  <c r="G8" i="3" s="1"/>
  <c r="E8" i="3"/>
  <c r="C8" i="3"/>
  <c r="O8" i="3" s="1"/>
  <c r="J7" i="3"/>
  <c r="I7" i="3"/>
  <c r="M7" i="3" s="1"/>
  <c r="F7" i="3"/>
  <c r="G7" i="3" s="1"/>
  <c r="E7" i="3"/>
  <c r="C7" i="3"/>
  <c r="O7" i="3" s="1"/>
  <c r="J6" i="3"/>
  <c r="I6" i="3"/>
  <c r="M6" i="3" s="1"/>
  <c r="F6" i="3"/>
  <c r="G6" i="3" s="1"/>
  <c r="E6" i="3"/>
  <c r="C6" i="3"/>
  <c r="J5" i="3"/>
  <c r="I5" i="3"/>
  <c r="M5" i="3" s="1"/>
  <c r="F5" i="3"/>
  <c r="G5" i="3" s="1"/>
  <c r="E5" i="3"/>
  <c r="C5" i="3"/>
  <c r="O5" i="3" s="1"/>
  <c r="J4" i="3"/>
  <c r="I4" i="3"/>
  <c r="M4" i="3" s="1"/>
  <c r="F4" i="3"/>
  <c r="G4" i="3" s="1"/>
  <c r="E4" i="3"/>
  <c r="C4" i="3"/>
  <c r="O4" i="3" s="1"/>
  <c r="J3" i="3"/>
  <c r="I3" i="3"/>
  <c r="F3" i="3"/>
  <c r="G3" i="3" s="1"/>
  <c r="E3" i="3"/>
  <c r="C3" i="3"/>
  <c r="O3" i="3" s="1"/>
  <c r="J2" i="3"/>
  <c r="I2" i="3"/>
  <c r="M2" i="3" s="1"/>
  <c r="F2" i="3"/>
  <c r="G2" i="3" s="1"/>
  <c r="E2" i="3"/>
  <c r="C2" i="3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N2" i="3" l="1"/>
  <c r="H47" i="3"/>
  <c r="H6" i="3"/>
  <c r="H22" i="3"/>
  <c r="H30" i="3"/>
  <c r="H13" i="3"/>
  <c r="H37" i="3"/>
  <c r="K36" i="3"/>
  <c r="O40" i="3"/>
  <c r="H31" i="3"/>
  <c r="H44" i="3"/>
  <c r="K35" i="3"/>
  <c r="O30" i="3"/>
  <c r="O22" i="3"/>
  <c r="O6" i="3"/>
  <c r="H9" i="3"/>
  <c r="H41" i="3"/>
  <c r="K37" i="3"/>
  <c r="H51" i="3"/>
  <c r="O37" i="3"/>
  <c r="H49" i="3"/>
  <c r="K18" i="3"/>
  <c r="O44" i="3"/>
  <c r="O36" i="3"/>
  <c r="O48" i="1"/>
  <c r="O32" i="1"/>
  <c r="O17" i="1"/>
  <c r="O31" i="1"/>
  <c r="O16" i="1"/>
  <c r="O37" i="1"/>
  <c r="O29" i="1"/>
  <c r="O45" i="1"/>
  <c r="O21" i="1"/>
  <c r="H15" i="3"/>
  <c r="H19" i="3"/>
  <c r="H23" i="3"/>
  <c r="K13" i="3"/>
  <c r="K17" i="3"/>
  <c r="K21" i="3"/>
  <c r="K25" i="3"/>
  <c r="H5" i="3"/>
  <c r="H12" i="3"/>
  <c r="H16" i="3"/>
  <c r="K14" i="3"/>
  <c r="H17" i="3"/>
  <c r="K34" i="3"/>
  <c r="K39" i="3"/>
  <c r="H3" i="3"/>
  <c r="K15" i="3"/>
  <c r="H35" i="3"/>
  <c r="K47" i="3"/>
  <c r="H25" i="3"/>
  <c r="H7" i="3"/>
  <c r="H21" i="3"/>
  <c r="H11" i="3"/>
  <c r="K23" i="3"/>
  <c r="H29" i="3"/>
  <c r="K32" i="3"/>
  <c r="H39" i="3"/>
  <c r="H43" i="3"/>
  <c r="H10" i="3"/>
  <c r="K19" i="3"/>
  <c r="K41" i="3"/>
  <c r="K2" i="3"/>
  <c r="K4" i="3"/>
  <c r="K9" i="3"/>
  <c r="K8" i="3"/>
  <c r="K45" i="3"/>
  <c r="K7" i="3"/>
  <c r="K12" i="3"/>
  <c r="H14" i="3"/>
  <c r="H26" i="3"/>
  <c r="K31" i="3"/>
  <c r="K49" i="3"/>
  <c r="K43" i="3"/>
  <c r="K27" i="3"/>
  <c r="K10" i="3"/>
  <c r="H27" i="3"/>
  <c r="H33" i="3"/>
  <c r="H45" i="3"/>
  <c r="H48" i="3"/>
  <c r="K3" i="3"/>
  <c r="K33" i="3"/>
  <c r="K5" i="3"/>
  <c r="K11" i="3"/>
  <c r="K29" i="3"/>
  <c r="H42" i="3"/>
  <c r="H28" i="3"/>
  <c r="H34" i="3"/>
  <c r="H46" i="3"/>
  <c r="H32" i="3"/>
  <c r="H50" i="3"/>
  <c r="H20" i="3"/>
  <c r="H38" i="3"/>
  <c r="H18" i="3"/>
  <c r="H24" i="3"/>
  <c r="H36" i="3"/>
  <c r="K26" i="3"/>
  <c r="K28" i="3"/>
  <c r="K30" i="3"/>
  <c r="K38" i="3"/>
  <c r="K40" i="3"/>
  <c r="K42" i="3"/>
  <c r="K44" i="3"/>
  <c r="K46" i="3"/>
  <c r="K48" i="3"/>
  <c r="K50" i="3"/>
  <c r="K6" i="3"/>
  <c r="K16" i="3"/>
  <c r="K20" i="3"/>
  <c r="K22" i="3"/>
  <c r="K24" i="3"/>
  <c r="K51" i="3"/>
  <c r="H2" i="3"/>
  <c r="H4" i="3"/>
  <c r="H8" i="3"/>
  <c r="O6" i="1"/>
  <c r="O49" i="1"/>
  <c r="O15" i="1"/>
  <c r="O13" i="1"/>
  <c r="O5" i="1"/>
  <c r="O47" i="1"/>
  <c r="O44" i="1"/>
  <c r="O36" i="1"/>
  <c r="O28" i="1"/>
  <c r="O20" i="1"/>
  <c r="O12" i="1"/>
  <c r="O4" i="1"/>
  <c r="O33" i="1"/>
  <c r="O51" i="1"/>
  <c r="O43" i="1"/>
  <c r="O35" i="1"/>
  <c r="O27" i="1"/>
  <c r="O19" i="1"/>
  <c r="O11" i="1"/>
  <c r="O3" i="1"/>
  <c r="O41" i="1"/>
  <c r="O25" i="1"/>
  <c r="O40" i="1"/>
  <c r="O24" i="1"/>
  <c r="O8" i="1"/>
  <c r="O46" i="1"/>
  <c r="O14" i="1"/>
  <c r="O18" i="1"/>
  <c r="O39" i="1"/>
  <c r="O23" i="1"/>
  <c r="O7" i="1"/>
  <c r="O30" i="1"/>
  <c r="O50" i="1"/>
  <c r="O42" i="1"/>
  <c r="O34" i="1"/>
  <c r="O26" i="1"/>
  <c r="O10" i="1"/>
  <c r="O9" i="1"/>
  <c r="O38" i="1"/>
  <c r="O22" i="1"/>
  <c r="F4" i="1" l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3" i="1"/>
  <c r="G3" i="1"/>
  <c r="H3" i="1" s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H32" i="1" s="1"/>
  <c r="G33" i="1"/>
  <c r="H33" i="1" s="1"/>
  <c r="G34" i="1"/>
  <c r="H34" i="1" s="1"/>
  <c r="G35" i="1"/>
  <c r="H35" i="1" s="1"/>
  <c r="G36" i="1"/>
  <c r="H36" i="1" s="1"/>
  <c r="G37" i="1"/>
  <c r="H37" i="1" s="1"/>
  <c r="G38" i="1"/>
  <c r="H38" i="1" s="1"/>
  <c r="G39" i="1"/>
  <c r="H39" i="1" s="1"/>
  <c r="G40" i="1"/>
  <c r="H40" i="1" s="1"/>
  <c r="G41" i="1"/>
  <c r="H41" i="1" s="1"/>
  <c r="G42" i="1"/>
  <c r="H42" i="1" s="1"/>
  <c r="G43" i="1"/>
  <c r="H43" i="1" s="1"/>
  <c r="G44" i="1"/>
  <c r="H44" i="1" s="1"/>
  <c r="G45" i="1"/>
  <c r="H45" i="1" s="1"/>
  <c r="G46" i="1"/>
  <c r="H46" i="1" s="1"/>
  <c r="G47" i="1"/>
  <c r="H47" i="1" s="1"/>
  <c r="G48" i="1"/>
  <c r="H48" i="1" s="1"/>
  <c r="G49" i="1"/>
  <c r="H49" i="1" s="1"/>
  <c r="G50" i="1"/>
  <c r="H50" i="1" s="1"/>
  <c r="G51" i="1"/>
  <c r="H51" i="1" s="1"/>
  <c r="C3" i="1"/>
  <c r="L3" i="1" s="1"/>
  <c r="C4" i="1"/>
  <c r="L4" i="1" s="1"/>
  <c r="C5" i="1"/>
  <c r="L5" i="1" s="1"/>
  <c r="C6" i="1"/>
  <c r="L6" i="1" s="1"/>
  <c r="C7" i="1"/>
  <c r="L7" i="1" s="1"/>
  <c r="C8" i="1"/>
  <c r="L8" i="1" s="1"/>
  <c r="C9" i="1"/>
  <c r="L9" i="1" s="1"/>
  <c r="C10" i="1"/>
  <c r="L10" i="1" s="1"/>
  <c r="C11" i="1"/>
  <c r="L11" i="1" s="1"/>
  <c r="C12" i="1"/>
  <c r="L12" i="1" s="1"/>
  <c r="C13" i="1"/>
  <c r="L13" i="1" s="1"/>
  <c r="C14" i="1"/>
  <c r="L14" i="1" s="1"/>
  <c r="C15" i="1"/>
  <c r="L15" i="1" s="1"/>
  <c r="C16" i="1"/>
  <c r="L16" i="1" s="1"/>
  <c r="C17" i="1"/>
  <c r="L17" i="1" s="1"/>
  <c r="C18" i="1"/>
  <c r="L18" i="1" s="1"/>
  <c r="C19" i="1"/>
  <c r="L19" i="1" s="1"/>
  <c r="C20" i="1"/>
  <c r="L20" i="1" s="1"/>
  <c r="C21" i="1"/>
  <c r="L21" i="1" s="1"/>
  <c r="C22" i="1"/>
  <c r="L22" i="1" s="1"/>
  <c r="C23" i="1"/>
  <c r="L23" i="1" s="1"/>
  <c r="C24" i="1"/>
  <c r="L24" i="1" s="1"/>
  <c r="C25" i="1"/>
  <c r="L25" i="1" s="1"/>
  <c r="C26" i="1"/>
  <c r="L26" i="1" s="1"/>
  <c r="C27" i="1"/>
  <c r="L27" i="1" s="1"/>
  <c r="C28" i="1"/>
  <c r="L28" i="1" s="1"/>
  <c r="C29" i="1"/>
  <c r="L29" i="1" s="1"/>
  <c r="C30" i="1"/>
  <c r="L30" i="1" s="1"/>
  <c r="C31" i="1"/>
  <c r="L31" i="1" s="1"/>
  <c r="C32" i="1"/>
  <c r="L32" i="1" s="1"/>
  <c r="C33" i="1"/>
  <c r="L33" i="1" s="1"/>
  <c r="C34" i="1"/>
  <c r="L34" i="1" s="1"/>
  <c r="C35" i="1"/>
  <c r="L35" i="1" s="1"/>
  <c r="C36" i="1"/>
  <c r="L36" i="1" s="1"/>
  <c r="C37" i="1"/>
  <c r="L37" i="1" s="1"/>
  <c r="C38" i="1"/>
  <c r="L38" i="1" s="1"/>
  <c r="C39" i="1"/>
  <c r="L39" i="1" s="1"/>
  <c r="C40" i="1"/>
  <c r="L40" i="1" s="1"/>
  <c r="C41" i="1"/>
  <c r="L41" i="1" s="1"/>
  <c r="C42" i="1"/>
  <c r="L42" i="1" s="1"/>
  <c r="C43" i="1"/>
  <c r="L43" i="1" s="1"/>
  <c r="C44" i="1"/>
  <c r="L44" i="1" s="1"/>
  <c r="C45" i="1"/>
  <c r="L45" i="1" s="1"/>
  <c r="C46" i="1"/>
  <c r="L46" i="1" s="1"/>
  <c r="C47" i="1"/>
  <c r="L47" i="1" s="1"/>
  <c r="C48" i="1"/>
  <c r="L48" i="1" s="1"/>
  <c r="C49" i="1"/>
  <c r="L49" i="1" s="1"/>
  <c r="C50" i="1"/>
  <c r="L50" i="1" s="1"/>
  <c r="C51" i="1"/>
  <c r="L51" i="1" s="1"/>
  <c r="C2" i="1"/>
  <c r="L2" i="1" l="1"/>
  <c r="I2" i="1"/>
  <c r="I43" i="1"/>
  <c r="I27" i="1"/>
  <c r="I18" i="1"/>
  <c r="I48" i="1"/>
  <c r="I40" i="1"/>
  <c r="I24" i="1"/>
  <c r="I8" i="1"/>
  <c r="I51" i="1"/>
  <c r="I35" i="1"/>
  <c r="I11" i="1"/>
  <c r="I10" i="1"/>
  <c r="I32" i="1"/>
  <c r="I16" i="1"/>
  <c r="I45" i="1"/>
  <c r="I37" i="1"/>
  <c r="I29" i="1"/>
  <c r="I21" i="1"/>
  <c r="I13" i="1"/>
  <c r="I5" i="1"/>
  <c r="I47" i="1"/>
  <c r="I39" i="1"/>
  <c r="I31" i="1"/>
  <c r="I23" i="1"/>
  <c r="I15" i="1"/>
  <c r="I7" i="1"/>
  <c r="I46" i="1"/>
  <c r="I38" i="1"/>
  <c r="I30" i="1"/>
  <c r="I22" i="1"/>
  <c r="I14" i="1"/>
  <c r="I6" i="1"/>
  <c r="I34" i="1"/>
  <c r="I50" i="1"/>
  <c r="I42" i="1"/>
  <c r="I26" i="1"/>
  <c r="I49" i="1"/>
  <c r="I41" i="1"/>
  <c r="I33" i="1"/>
  <c r="I25" i="1"/>
  <c r="I17" i="1"/>
  <c r="I9" i="1"/>
  <c r="I19" i="1"/>
  <c r="I44" i="1"/>
  <c r="I36" i="1"/>
  <c r="I28" i="1"/>
  <c r="I20" i="1"/>
  <c r="I12" i="1"/>
  <c r="I4" i="1"/>
  <c r="I3" i="1"/>
</calcChain>
</file>

<file path=xl/sharedStrings.xml><?xml version="1.0" encoding="utf-8"?>
<sst xmlns="http://schemas.openxmlformats.org/spreadsheetml/2006/main" count="35" uniqueCount="25">
  <si>
    <t>p</t>
  </si>
  <si>
    <t>q</t>
  </si>
  <si>
    <t>CE</t>
  </si>
  <si>
    <t>D=WTP</t>
  </si>
  <si>
    <t>firm profit mandate</t>
  </si>
  <si>
    <t>Firm profit</t>
  </si>
  <si>
    <t>Total firm profit</t>
  </si>
  <si>
    <t>mandate</t>
  </si>
  <si>
    <t>RP</t>
  </si>
  <si>
    <t>MC=expected cost</t>
  </si>
  <si>
    <t>P*</t>
  </si>
  <si>
    <t>Q*</t>
  </si>
  <si>
    <t>total profit</t>
  </si>
  <si>
    <t>ID individual</t>
  </si>
  <si>
    <t>CS (method 1)</t>
  </si>
  <si>
    <t>Demand (linear approximation in hint)</t>
  </si>
  <si>
    <t>method 1</t>
  </si>
  <si>
    <t>CS total (method 1)</t>
  </si>
  <si>
    <t>CS mandate (method 1)</t>
  </si>
  <si>
    <t>CS mandate total (method 1)</t>
  </si>
  <si>
    <t>AC (compute as average)</t>
  </si>
  <si>
    <t>AC (following the hint)</t>
  </si>
  <si>
    <t>MR</t>
  </si>
  <si>
    <t>MC - MR</t>
  </si>
  <si>
    <t>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</si>
</sst>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rgb="FF0070C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164" fontId="0" fillId="0" borderId="0" xfId="0" applyNumberFormat="1"/>
    <xf numFmtId="164" fontId="0" fillId="2" borderId="0" xfId="0" applyNumberFormat="1" applyFill="1"/>
    <xf numFmtId="164" fontId="0" fillId="0" borderId="6" xfId="0" applyNumberFormat="1" applyBorder="1"/>
    <xf numFmtId="164" fontId="0" fillId="3" borderId="1" xfId="0" applyNumberFormat="1" applyFill="1" applyBorder="1"/>
    <xf numFmtId="164" fontId="0" fillId="0" borderId="8" xfId="0" applyNumberFormat="1" applyBorder="1"/>
    <xf numFmtId="164" fontId="0" fillId="0" borderId="9" xfId="0" applyNumberFormat="1" applyBorder="1"/>
    <xf numFmtId="164" fontId="1" fillId="0" borderId="0" xfId="0" applyNumberFormat="1" applyFont="1"/>
    <xf numFmtId="0" fontId="0" fillId="0" borderId="3" xfId="0" applyBorder="1"/>
    <xf numFmtId="164" fontId="0" fillId="0" borderId="5" xfId="0" applyNumberFormat="1" applyBorder="1"/>
    <xf numFmtId="164" fontId="0" fillId="3" borderId="5" xfId="0" applyNumberFormat="1" applyFill="1" applyBorder="1"/>
    <xf numFmtId="164" fontId="0" fillId="3" borderId="0" xfId="0" applyNumberFormat="1" applyFill="1"/>
    <xf numFmtId="0" fontId="0" fillId="0" borderId="5" xfId="0" applyBorder="1"/>
    <xf numFmtId="164" fontId="0" fillId="0" borderId="0" xfId="0" applyNumberFormat="1" applyAlignment="1">
      <alignment horizontal="right"/>
    </xf>
    <xf numFmtId="0" fontId="4" fillId="0" borderId="0" xfId="0" applyFont="1"/>
    <xf numFmtId="0" fontId="4" fillId="0" borderId="0" xfId="0" applyFont="1" applyAlignment="1">
      <alignment horizontal="right"/>
    </xf>
    <xf numFmtId="0" fontId="2" fillId="0" borderId="5" xfId="0" applyFont="1" applyFill="1" applyBorder="1"/>
    <xf numFmtId="0" fontId="2" fillId="0" borderId="0" xfId="0" applyFont="1" applyFill="1"/>
    <xf numFmtId="164" fontId="0" fillId="0" borderId="0" xfId="0" applyNumberFormat="1" applyFill="1"/>
    <xf numFmtId="0" fontId="0" fillId="0" borderId="5" xfId="0" applyFill="1" applyBorder="1"/>
    <xf numFmtId="0" fontId="0" fillId="0" borderId="0" xfId="0" applyFill="1"/>
    <xf numFmtId="164" fontId="0" fillId="0" borderId="7" xfId="0" applyNumberFormat="1" applyFill="1" applyBorder="1"/>
    <xf numFmtId="164" fontId="0" fillId="0" borderId="8" xfId="0" applyNumberFormat="1" applyFill="1" applyBorder="1"/>
    <xf numFmtId="164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MC, AC,D, MR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2"/>
          <c:tx>
            <c:v>MC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graphs!$D$2:$D$51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graphs!$C$2:$C$51</c:f>
              <c:numCache>
                <c:formatCode>General</c:formatCode>
                <c:ptCount val="50"/>
                <c:pt idx="0">
                  <c:v>15000</c:v>
                </c:pt>
                <c:pt idx="1">
                  <c:v>14700</c:v>
                </c:pt>
                <c:pt idx="2">
                  <c:v>14400</c:v>
                </c:pt>
                <c:pt idx="3">
                  <c:v>14100</c:v>
                </c:pt>
                <c:pt idx="4">
                  <c:v>13800</c:v>
                </c:pt>
                <c:pt idx="5">
                  <c:v>13500</c:v>
                </c:pt>
                <c:pt idx="6">
                  <c:v>13200</c:v>
                </c:pt>
                <c:pt idx="7">
                  <c:v>12900</c:v>
                </c:pt>
                <c:pt idx="8">
                  <c:v>12600</c:v>
                </c:pt>
                <c:pt idx="9">
                  <c:v>12300</c:v>
                </c:pt>
                <c:pt idx="10">
                  <c:v>12000</c:v>
                </c:pt>
                <c:pt idx="11">
                  <c:v>11700</c:v>
                </c:pt>
                <c:pt idx="12">
                  <c:v>11400</c:v>
                </c:pt>
                <c:pt idx="13">
                  <c:v>11100</c:v>
                </c:pt>
                <c:pt idx="14">
                  <c:v>10800</c:v>
                </c:pt>
                <c:pt idx="15">
                  <c:v>10500</c:v>
                </c:pt>
                <c:pt idx="16">
                  <c:v>10200</c:v>
                </c:pt>
                <c:pt idx="17">
                  <c:v>9900</c:v>
                </c:pt>
                <c:pt idx="18">
                  <c:v>9600</c:v>
                </c:pt>
                <c:pt idx="19">
                  <c:v>9300</c:v>
                </c:pt>
                <c:pt idx="20">
                  <c:v>9000</c:v>
                </c:pt>
                <c:pt idx="21">
                  <c:v>8700</c:v>
                </c:pt>
                <c:pt idx="22">
                  <c:v>8400</c:v>
                </c:pt>
                <c:pt idx="23">
                  <c:v>8100.0000000000009</c:v>
                </c:pt>
                <c:pt idx="24">
                  <c:v>7800</c:v>
                </c:pt>
                <c:pt idx="25">
                  <c:v>7500</c:v>
                </c:pt>
                <c:pt idx="26">
                  <c:v>7200</c:v>
                </c:pt>
                <c:pt idx="27">
                  <c:v>6900</c:v>
                </c:pt>
                <c:pt idx="28">
                  <c:v>6600</c:v>
                </c:pt>
                <c:pt idx="29">
                  <c:v>6300</c:v>
                </c:pt>
                <c:pt idx="30">
                  <c:v>6000</c:v>
                </c:pt>
                <c:pt idx="31">
                  <c:v>5700</c:v>
                </c:pt>
                <c:pt idx="32">
                  <c:v>5400</c:v>
                </c:pt>
                <c:pt idx="33">
                  <c:v>5100</c:v>
                </c:pt>
                <c:pt idx="34">
                  <c:v>4800</c:v>
                </c:pt>
                <c:pt idx="35">
                  <c:v>4500</c:v>
                </c:pt>
                <c:pt idx="36">
                  <c:v>4200</c:v>
                </c:pt>
                <c:pt idx="37">
                  <c:v>3900</c:v>
                </c:pt>
                <c:pt idx="38">
                  <c:v>3600</c:v>
                </c:pt>
                <c:pt idx="39">
                  <c:v>3300</c:v>
                </c:pt>
                <c:pt idx="40">
                  <c:v>3000</c:v>
                </c:pt>
                <c:pt idx="41">
                  <c:v>2700</c:v>
                </c:pt>
                <c:pt idx="42">
                  <c:v>2400</c:v>
                </c:pt>
                <c:pt idx="43">
                  <c:v>2100</c:v>
                </c:pt>
                <c:pt idx="44">
                  <c:v>1800</c:v>
                </c:pt>
                <c:pt idx="45">
                  <c:v>1500</c:v>
                </c:pt>
                <c:pt idx="46">
                  <c:v>1200</c:v>
                </c:pt>
                <c:pt idx="47">
                  <c:v>900</c:v>
                </c:pt>
                <c:pt idx="48">
                  <c:v>600</c:v>
                </c:pt>
                <c:pt idx="49">
                  <c:v>300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AD2-4C8E-B1B3-CCFDEC0E56AB}"/>
            </c:ext>
          </c:extLst>
        </c:ser>
        <c:ser>
          <c:idx val="3"/>
          <c:order val="3"/>
          <c:tx>
            <c:v>AC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graphs!$D$2:$D$51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graphs!$F$2:$F$51</c:f>
              <c:numCache>
                <c:formatCode>General</c:formatCode>
                <c:ptCount val="50"/>
                <c:pt idx="0">
                  <c:v>15000</c:v>
                </c:pt>
                <c:pt idx="1">
                  <c:v>14850</c:v>
                </c:pt>
                <c:pt idx="2">
                  <c:v>14700</c:v>
                </c:pt>
                <c:pt idx="3">
                  <c:v>14550</c:v>
                </c:pt>
                <c:pt idx="4">
                  <c:v>14400</c:v>
                </c:pt>
                <c:pt idx="5">
                  <c:v>14250</c:v>
                </c:pt>
                <c:pt idx="6">
                  <c:v>14100</c:v>
                </c:pt>
                <c:pt idx="7">
                  <c:v>13950</c:v>
                </c:pt>
                <c:pt idx="8">
                  <c:v>13800</c:v>
                </c:pt>
                <c:pt idx="9">
                  <c:v>13650</c:v>
                </c:pt>
                <c:pt idx="10">
                  <c:v>13500</c:v>
                </c:pt>
                <c:pt idx="11">
                  <c:v>13350</c:v>
                </c:pt>
                <c:pt idx="12">
                  <c:v>13200</c:v>
                </c:pt>
                <c:pt idx="13">
                  <c:v>13050</c:v>
                </c:pt>
                <c:pt idx="14">
                  <c:v>12900</c:v>
                </c:pt>
                <c:pt idx="15">
                  <c:v>12750</c:v>
                </c:pt>
                <c:pt idx="16">
                  <c:v>12600</c:v>
                </c:pt>
                <c:pt idx="17">
                  <c:v>12450</c:v>
                </c:pt>
                <c:pt idx="18">
                  <c:v>12300</c:v>
                </c:pt>
                <c:pt idx="19">
                  <c:v>12150</c:v>
                </c:pt>
                <c:pt idx="20">
                  <c:v>12000</c:v>
                </c:pt>
                <c:pt idx="21">
                  <c:v>11850</c:v>
                </c:pt>
                <c:pt idx="22">
                  <c:v>11700</c:v>
                </c:pt>
                <c:pt idx="23">
                  <c:v>11550</c:v>
                </c:pt>
                <c:pt idx="24">
                  <c:v>11400</c:v>
                </c:pt>
                <c:pt idx="25">
                  <c:v>11250</c:v>
                </c:pt>
                <c:pt idx="26">
                  <c:v>11100</c:v>
                </c:pt>
                <c:pt idx="27">
                  <c:v>10950</c:v>
                </c:pt>
                <c:pt idx="28">
                  <c:v>10800</c:v>
                </c:pt>
                <c:pt idx="29">
                  <c:v>10650</c:v>
                </c:pt>
                <c:pt idx="30">
                  <c:v>10500</c:v>
                </c:pt>
                <c:pt idx="31">
                  <c:v>10350</c:v>
                </c:pt>
                <c:pt idx="32">
                  <c:v>10200</c:v>
                </c:pt>
                <c:pt idx="33">
                  <c:v>10050</c:v>
                </c:pt>
                <c:pt idx="34">
                  <c:v>9900</c:v>
                </c:pt>
                <c:pt idx="35">
                  <c:v>9750</c:v>
                </c:pt>
                <c:pt idx="36">
                  <c:v>9600</c:v>
                </c:pt>
                <c:pt idx="37">
                  <c:v>9450</c:v>
                </c:pt>
                <c:pt idx="38">
                  <c:v>9300</c:v>
                </c:pt>
                <c:pt idx="39">
                  <c:v>9150</c:v>
                </c:pt>
                <c:pt idx="40">
                  <c:v>9000</c:v>
                </c:pt>
                <c:pt idx="41">
                  <c:v>8850</c:v>
                </c:pt>
                <c:pt idx="42">
                  <c:v>8700</c:v>
                </c:pt>
                <c:pt idx="43">
                  <c:v>8550</c:v>
                </c:pt>
                <c:pt idx="44">
                  <c:v>8400</c:v>
                </c:pt>
                <c:pt idx="45">
                  <c:v>8250</c:v>
                </c:pt>
                <c:pt idx="46">
                  <c:v>8100</c:v>
                </c:pt>
                <c:pt idx="47">
                  <c:v>7950</c:v>
                </c:pt>
                <c:pt idx="48">
                  <c:v>7800</c:v>
                </c:pt>
                <c:pt idx="49">
                  <c:v>7650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AD2-4C8E-B1B3-CCFDEC0E56AB}"/>
            </c:ext>
          </c:extLst>
        </c:ser>
        <c:ser>
          <c:idx val="4"/>
          <c:order val="4"/>
          <c:tx>
            <c:v>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yVal>
            <c:numRef>
              <c:f>graphs!$I$2:$I$51</c:f>
              <c:numCache>
                <c:formatCode>0.0</c:formatCode>
                <c:ptCount val="50"/>
                <c:pt idx="0">
                  <c:v>16688.6116991581</c:v>
                </c:pt>
                <c:pt idx="1">
                  <c:v>16387.936254478438</c:v>
                </c:pt>
                <c:pt idx="2">
                  <c:v>16085.909920439452</c:v>
                </c:pt>
                <c:pt idx="3">
                  <c:v>15782.532697041133</c:v>
                </c:pt>
                <c:pt idx="4">
                  <c:v>15477.804584283484</c:v>
                </c:pt>
                <c:pt idx="5">
                  <c:v>15171.725582166524</c:v>
                </c:pt>
                <c:pt idx="6">
                  <c:v>14864.295690690218</c:v>
                </c:pt>
                <c:pt idx="7">
                  <c:v>14555.514909854595</c:v>
                </c:pt>
                <c:pt idx="8">
                  <c:v>14245.383239659648</c:v>
                </c:pt>
                <c:pt idx="9">
                  <c:v>13933.900680105384</c:v>
                </c:pt>
                <c:pt idx="10">
                  <c:v>13621.067231191781</c:v>
                </c:pt>
                <c:pt idx="11">
                  <c:v>13306.882892918853</c:v>
                </c:pt>
                <c:pt idx="12">
                  <c:v>12991.347665286601</c:v>
                </c:pt>
                <c:pt idx="13">
                  <c:v>12674.461548295018</c:v>
                </c:pt>
                <c:pt idx="14">
                  <c:v>12356.224541944102</c:v>
                </c:pt>
                <c:pt idx="15">
                  <c:v>12036.636646233877</c:v>
                </c:pt>
                <c:pt idx="16">
                  <c:v>11715.697861164321</c:v>
                </c:pt>
                <c:pt idx="17">
                  <c:v>11393.408186735433</c:v>
                </c:pt>
                <c:pt idx="18">
                  <c:v>11069.76762294722</c:v>
                </c:pt>
                <c:pt idx="19">
                  <c:v>10744.776169799676</c:v>
                </c:pt>
                <c:pt idx="20">
                  <c:v>10418.433827292814</c:v>
                </c:pt>
                <c:pt idx="21">
                  <c:v>10090.740595426621</c:v>
                </c:pt>
                <c:pt idx="22">
                  <c:v>9761.6964742010969</c:v>
                </c:pt>
                <c:pt idx="23">
                  <c:v>9431.3014636162552</c:v>
                </c:pt>
                <c:pt idx="24">
                  <c:v>9099.5555636720674</c:v>
                </c:pt>
                <c:pt idx="25">
                  <c:v>8766.4587743685843</c:v>
                </c:pt>
                <c:pt idx="26">
                  <c:v>8432.0110957057623</c:v>
                </c:pt>
                <c:pt idx="27">
                  <c:v>8096.2125276835941</c:v>
                </c:pt>
                <c:pt idx="28">
                  <c:v>7759.0630703021161</c:v>
                </c:pt>
                <c:pt idx="29">
                  <c:v>7420.5627235613283</c:v>
                </c:pt>
                <c:pt idx="30">
                  <c:v>7080.7114874611798</c:v>
                </c:pt>
                <c:pt idx="31">
                  <c:v>6739.5093620017215</c:v>
                </c:pt>
                <c:pt idx="32">
                  <c:v>6396.9563471829388</c:v>
                </c:pt>
                <c:pt idx="33">
                  <c:v>6053.052443004839</c:v>
                </c:pt>
                <c:pt idx="34">
                  <c:v>5707.7976494673931</c:v>
                </c:pt>
                <c:pt idx="35">
                  <c:v>5361.19196657063</c:v>
                </c:pt>
                <c:pt idx="36">
                  <c:v>5013.2353943145426</c:v>
                </c:pt>
                <c:pt idx="37">
                  <c:v>4663.9279326991236</c:v>
                </c:pt>
                <c:pt idx="38">
                  <c:v>4313.2695817243803</c:v>
                </c:pt>
                <c:pt idx="39">
                  <c:v>3961.2603413903125</c:v>
                </c:pt>
                <c:pt idx="40">
                  <c:v>3607.9002116969132</c:v>
                </c:pt>
                <c:pt idx="41">
                  <c:v>3253.1891926441967</c:v>
                </c:pt>
                <c:pt idx="42">
                  <c:v>2897.1272842321414</c:v>
                </c:pt>
                <c:pt idx="43">
                  <c:v>2539.7144864607835</c:v>
                </c:pt>
                <c:pt idx="44">
                  <c:v>2180.9507993300649</c:v>
                </c:pt>
                <c:pt idx="45">
                  <c:v>1820.8362228400365</c:v>
                </c:pt>
                <c:pt idx="46">
                  <c:v>1459.3707569906983</c:v>
                </c:pt>
                <c:pt idx="47">
                  <c:v>1096.5544017820066</c:v>
                </c:pt>
                <c:pt idx="48">
                  <c:v>732.38715721399785</c:v>
                </c:pt>
                <c:pt idx="49">
                  <c:v>366.86902328666474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AD2-4C8E-B1B3-CCFDEC0E56AB}"/>
            </c:ext>
          </c:extLst>
        </c:ser>
        <c:ser>
          <c:idx val="5"/>
          <c:order val="5"/>
          <c:tx>
            <c:v>MR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yVal>
            <c:numRef>
              <c:f>graphs!#REF!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AD2-4C8E-B1B3-CCFDEC0E56AB}"/>
            </c:ext>
          </c:extLst>
        </c:ser>
        <c:ser>
          <c:idx val="6"/>
          <c:order val="6"/>
          <c:tx>
            <c:v>mandate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yVal>
            <c:numRef>
              <c:f>graphs!$T$2:$T$51</c:f>
              <c:numCache>
                <c:formatCode>General</c:formatCode>
                <c:ptCount val="5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AD2-4C8E-B1B3-CCFDEC0E56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5370287"/>
        <c:axId val="855371951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graphs!$D$2:$D$51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graphs!$A$2:$A$51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FAD2-4C8E-B1B3-CCFDEC0E56AB}"/>
                  </c:ext>
                </c:extLst>
              </c15:ser>
            </c15:filteredScatterSeries>
            <c15:filteredScatterSeries>
              <c15:ser>
                <c:idx val="1"/>
                <c:order val="1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graphs!$D$2:$D$51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graphs!$B$2:$B$51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0.5</c:v>
                      </c:pt>
                      <c:pt idx="1">
                        <c:v>0.49</c:v>
                      </c:pt>
                      <c:pt idx="2">
                        <c:v>0.48</c:v>
                      </c:pt>
                      <c:pt idx="3">
                        <c:v>0.47</c:v>
                      </c:pt>
                      <c:pt idx="4">
                        <c:v>0.46</c:v>
                      </c:pt>
                      <c:pt idx="5">
                        <c:v>0.45</c:v>
                      </c:pt>
                      <c:pt idx="6">
                        <c:v>0.44</c:v>
                      </c:pt>
                      <c:pt idx="7">
                        <c:v>0.43</c:v>
                      </c:pt>
                      <c:pt idx="8">
                        <c:v>0.42</c:v>
                      </c:pt>
                      <c:pt idx="9">
                        <c:v>0.41</c:v>
                      </c:pt>
                      <c:pt idx="10">
                        <c:v>0.4</c:v>
                      </c:pt>
                      <c:pt idx="11">
                        <c:v>0.39</c:v>
                      </c:pt>
                      <c:pt idx="12">
                        <c:v>0.38</c:v>
                      </c:pt>
                      <c:pt idx="13">
                        <c:v>0.37</c:v>
                      </c:pt>
                      <c:pt idx="14">
                        <c:v>0.36</c:v>
                      </c:pt>
                      <c:pt idx="15">
                        <c:v>0.35</c:v>
                      </c:pt>
                      <c:pt idx="16">
                        <c:v>0.34</c:v>
                      </c:pt>
                      <c:pt idx="17">
                        <c:v>0.33</c:v>
                      </c:pt>
                      <c:pt idx="18">
                        <c:v>0.32</c:v>
                      </c:pt>
                      <c:pt idx="19">
                        <c:v>0.31</c:v>
                      </c:pt>
                      <c:pt idx="20">
                        <c:v>0.3</c:v>
                      </c:pt>
                      <c:pt idx="21">
                        <c:v>0.28999999999999998</c:v>
                      </c:pt>
                      <c:pt idx="22">
                        <c:v>0.28000000000000003</c:v>
                      </c:pt>
                      <c:pt idx="23">
                        <c:v>0.27</c:v>
                      </c:pt>
                      <c:pt idx="24">
                        <c:v>0.26</c:v>
                      </c:pt>
                      <c:pt idx="25">
                        <c:v>0.25</c:v>
                      </c:pt>
                      <c:pt idx="26">
                        <c:v>0.24</c:v>
                      </c:pt>
                      <c:pt idx="27">
                        <c:v>0.23</c:v>
                      </c:pt>
                      <c:pt idx="28">
                        <c:v>0.22</c:v>
                      </c:pt>
                      <c:pt idx="29">
                        <c:v>0.21</c:v>
                      </c:pt>
                      <c:pt idx="30">
                        <c:v>0.2</c:v>
                      </c:pt>
                      <c:pt idx="31">
                        <c:v>0.19</c:v>
                      </c:pt>
                      <c:pt idx="32">
                        <c:v>0.18</c:v>
                      </c:pt>
                      <c:pt idx="33">
                        <c:v>0.17</c:v>
                      </c:pt>
                      <c:pt idx="34">
                        <c:v>0.16</c:v>
                      </c:pt>
                      <c:pt idx="35">
                        <c:v>0.15</c:v>
                      </c:pt>
                      <c:pt idx="36">
                        <c:v>0.14000000000000001</c:v>
                      </c:pt>
                      <c:pt idx="37">
                        <c:v>0.13</c:v>
                      </c:pt>
                      <c:pt idx="38">
                        <c:v>0.12</c:v>
                      </c:pt>
                      <c:pt idx="39">
                        <c:v>0.11</c:v>
                      </c:pt>
                      <c:pt idx="40">
                        <c:v>0.1</c:v>
                      </c:pt>
                      <c:pt idx="41">
                        <c:v>0.09</c:v>
                      </c:pt>
                      <c:pt idx="42">
                        <c:v>0.08</c:v>
                      </c:pt>
                      <c:pt idx="43">
                        <c:v>7.0000000000000007E-2</c:v>
                      </c:pt>
                      <c:pt idx="44">
                        <c:v>0.06</c:v>
                      </c:pt>
                      <c:pt idx="45">
                        <c:v>0.05</c:v>
                      </c:pt>
                      <c:pt idx="46">
                        <c:v>0.04</c:v>
                      </c:pt>
                      <c:pt idx="47">
                        <c:v>0.03</c:v>
                      </c:pt>
                      <c:pt idx="48">
                        <c:v>0.02</c:v>
                      </c:pt>
                      <c:pt idx="49">
                        <c:v>0.01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FAD2-4C8E-B1B3-CCFDEC0E56AB}"/>
                  </c:ext>
                </c:extLst>
              </c15:ser>
            </c15:filteredScatterSeries>
          </c:ext>
        </c:extLst>
      </c:scatterChart>
      <c:valAx>
        <c:axId val="855370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t" anchorCtr="0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5371951"/>
        <c:crosses val="autoZero"/>
        <c:crossBetween val="midCat"/>
      </c:valAx>
      <c:valAx>
        <c:axId val="85537195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5370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4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MC, AC,D, MR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2"/>
          <c:tx>
            <c:v>MC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mandate!$D$2:$D$51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mandate!$C$2:$C$51</c:f>
              <c:numCache>
                <c:formatCode>General</c:formatCode>
                <c:ptCount val="50"/>
                <c:pt idx="0">
                  <c:v>15000</c:v>
                </c:pt>
                <c:pt idx="1">
                  <c:v>14700</c:v>
                </c:pt>
                <c:pt idx="2">
                  <c:v>14400</c:v>
                </c:pt>
                <c:pt idx="3">
                  <c:v>14100</c:v>
                </c:pt>
                <c:pt idx="4">
                  <c:v>13800</c:v>
                </c:pt>
                <c:pt idx="5">
                  <c:v>13500</c:v>
                </c:pt>
                <c:pt idx="6">
                  <c:v>13200</c:v>
                </c:pt>
                <c:pt idx="7">
                  <c:v>12900</c:v>
                </c:pt>
                <c:pt idx="8">
                  <c:v>12600</c:v>
                </c:pt>
                <c:pt idx="9">
                  <c:v>12300</c:v>
                </c:pt>
                <c:pt idx="10">
                  <c:v>12000</c:v>
                </c:pt>
                <c:pt idx="11">
                  <c:v>11700</c:v>
                </c:pt>
                <c:pt idx="12">
                  <c:v>11400</c:v>
                </c:pt>
                <c:pt idx="13">
                  <c:v>11100</c:v>
                </c:pt>
                <c:pt idx="14">
                  <c:v>10800</c:v>
                </c:pt>
                <c:pt idx="15">
                  <c:v>10500</c:v>
                </c:pt>
                <c:pt idx="16">
                  <c:v>10200</c:v>
                </c:pt>
                <c:pt idx="17">
                  <c:v>9900</c:v>
                </c:pt>
                <c:pt idx="18">
                  <c:v>9600</c:v>
                </c:pt>
                <c:pt idx="19">
                  <c:v>9300</c:v>
                </c:pt>
                <c:pt idx="20">
                  <c:v>9000</c:v>
                </c:pt>
                <c:pt idx="21">
                  <c:v>8700</c:v>
                </c:pt>
                <c:pt idx="22">
                  <c:v>8400</c:v>
                </c:pt>
                <c:pt idx="23">
                  <c:v>8100.0000000000009</c:v>
                </c:pt>
                <c:pt idx="24">
                  <c:v>7800</c:v>
                </c:pt>
                <c:pt idx="25">
                  <c:v>7500</c:v>
                </c:pt>
                <c:pt idx="26">
                  <c:v>7200</c:v>
                </c:pt>
                <c:pt idx="27">
                  <c:v>6900</c:v>
                </c:pt>
                <c:pt idx="28">
                  <c:v>6600</c:v>
                </c:pt>
                <c:pt idx="29">
                  <c:v>6300</c:v>
                </c:pt>
                <c:pt idx="30">
                  <c:v>6000</c:v>
                </c:pt>
                <c:pt idx="31">
                  <c:v>5700</c:v>
                </c:pt>
                <c:pt idx="32">
                  <c:v>5400</c:v>
                </c:pt>
                <c:pt idx="33">
                  <c:v>5100</c:v>
                </c:pt>
                <c:pt idx="34">
                  <c:v>4800</c:v>
                </c:pt>
                <c:pt idx="35">
                  <c:v>4500</c:v>
                </c:pt>
                <c:pt idx="36">
                  <c:v>4200</c:v>
                </c:pt>
                <c:pt idx="37">
                  <c:v>3900</c:v>
                </c:pt>
                <c:pt idx="38">
                  <c:v>3600</c:v>
                </c:pt>
                <c:pt idx="39">
                  <c:v>3300</c:v>
                </c:pt>
                <c:pt idx="40">
                  <c:v>3000</c:v>
                </c:pt>
                <c:pt idx="41">
                  <c:v>2700</c:v>
                </c:pt>
                <c:pt idx="42">
                  <c:v>2400</c:v>
                </c:pt>
                <c:pt idx="43">
                  <c:v>2100</c:v>
                </c:pt>
                <c:pt idx="44">
                  <c:v>1800</c:v>
                </c:pt>
                <c:pt idx="45">
                  <c:v>1500</c:v>
                </c:pt>
                <c:pt idx="46">
                  <c:v>1200</c:v>
                </c:pt>
                <c:pt idx="47">
                  <c:v>900</c:v>
                </c:pt>
                <c:pt idx="48">
                  <c:v>600</c:v>
                </c:pt>
                <c:pt idx="49">
                  <c:v>300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66-40DB-83FD-D6C1DE741C69}"/>
            </c:ext>
          </c:extLst>
        </c:ser>
        <c:ser>
          <c:idx val="3"/>
          <c:order val="3"/>
          <c:tx>
            <c:v>AC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mandate!$D$2:$D$51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mandate!#REF!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866-40DB-83FD-D6C1DE741C69}"/>
            </c:ext>
          </c:extLst>
        </c:ser>
        <c:ser>
          <c:idx val="4"/>
          <c:order val="4"/>
          <c:tx>
            <c:v>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yVal>
            <c:numRef>
              <c:f>mandate!$H$2:$H$51</c:f>
              <c:numCache>
                <c:formatCode>0.0</c:formatCode>
                <c:ptCount val="50"/>
                <c:pt idx="0">
                  <c:v>16688.6116991581</c:v>
                </c:pt>
                <c:pt idx="1">
                  <c:v>16387.936254478438</c:v>
                </c:pt>
                <c:pt idx="2">
                  <c:v>16085.909920439452</c:v>
                </c:pt>
                <c:pt idx="3">
                  <c:v>15782.532697041133</c:v>
                </c:pt>
                <c:pt idx="4">
                  <c:v>15477.804584283484</c:v>
                </c:pt>
                <c:pt idx="5">
                  <c:v>15171.725582166524</c:v>
                </c:pt>
                <c:pt idx="6">
                  <c:v>14864.295690690218</c:v>
                </c:pt>
                <c:pt idx="7">
                  <c:v>14555.514909854595</c:v>
                </c:pt>
                <c:pt idx="8">
                  <c:v>14245.383239659648</c:v>
                </c:pt>
                <c:pt idx="9">
                  <c:v>13933.900680105384</c:v>
                </c:pt>
                <c:pt idx="10">
                  <c:v>13621.067231191781</c:v>
                </c:pt>
                <c:pt idx="11">
                  <c:v>13306.882892918853</c:v>
                </c:pt>
                <c:pt idx="12">
                  <c:v>12991.347665286601</c:v>
                </c:pt>
                <c:pt idx="13">
                  <c:v>12674.461548295018</c:v>
                </c:pt>
                <c:pt idx="14">
                  <c:v>12356.224541944102</c:v>
                </c:pt>
                <c:pt idx="15">
                  <c:v>12036.636646233877</c:v>
                </c:pt>
                <c:pt idx="16">
                  <c:v>11715.697861164321</c:v>
                </c:pt>
                <c:pt idx="17">
                  <c:v>11393.408186735433</c:v>
                </c:pt>
                <c:pt idx="18">
                  <c:v>11069.76762294722</c:v>
                </c:pt>
                <c:pt idx="19">
                  <c:v>10744.776169799676</c:v>
                </c:pt>
                <c:pt idx="20">
                  <c:v>10418.433827292814</c:v>
                </c:pt>
                <c:pt idx="21">
                  <c:v>10090.740595426621</c:v>
                </c:pt>
                <c:pt idx="22">
                  <c:v>9761.6964742010969</c:v>
                </c:pt>
                <c:pt idx="23">
                  <c:v>9431.3014636162552</c:v>
                </c:pt>
                <c:pt idx="24">
                  <c:v>9099.5555636720674</c:v>
                </c:pt>
                <c:pt idx="25">
                  <c:v>8766.4587743685843</c:v>
                </c:pt>
                <c:pt idx="26">
                  <c:v>8432.0110957057623</c:v>
                </c:pt>
                <c:pt idx="27">
                  <c:v>8096.2125276835941</c:v>
                </c:pt>
                <c:pt idx="28">
                  <c:v>7759.0630703021161</c:v>
                </c:pt>
                <c:pt idx="29">
                  <c:v>7420.5627235613283</c:v>
                </c:pt>
                <c:pt idx="30">
                  <c:v>7080.7114874611798</c:v>
                </c:pt>
                <c:pt idx="31">
                  <c:v>6739.5093620017215</c:v>
                </c:pt>
                <c:pt idx="32">
                  <c:v>6396.9563471829388</c:v>
                </c:pt>
                <c:pt idx="33">
                  <c:v>6053.052443004839</c:v>
                </c:pt>
                <c:pt idx="34">
                  <c:v>5707.7976494673931</c:v>
                </c:pt>
                <c:pt idx="35">
                  <c:v>5361.19196657063</c:v>
                </c:pt>
                <c:pt idx="36">
                  <c:v>5013.2353943145426</c:v>
                </c:pt>
                <c:pt idx="37">
                  <c:v>4663.9279326991236</c:v>
                </c:pt>
                <c:pt idx="38">
                  <c:v>4313.2695817243803</c:v>
                </c:pt>
                <c:pt idx="39">
                  <c:v>3961.2603413903125</c:v>
                </c:pt>
                <c:pt idx="40">
                  <c:v>3607.9002116969132</c:v>
                </c:pt>
                <c:pt idx="41">
                  <c:v>3253.1891926441967</c:v>
                </c:pt>
                <c:pt idx="42">
                  <c:v>2897.1272842321414</c:v>
                </c:pt>
                <c:pt idx="43">
                  <c:v>2539.7144864607835</c:v>
                </c:pt>
                <c:pt idx="44">
                  <c:v>2180.9507993300649</c:v>
                </c:pt>
                <c:pt idx="45">
                  <c:v>1820.8362228400365</c:v>
                </c:pt>
                <c:pt idx="46">
                  <c:v>1459.3707569906983</c:v>
                </c:pt>
                <c:pt idx="47">
                  <c:v>1096.5544017820066</c:v>
                </c:pt>
                <c:pt idx="48">
                  <c:v>732.38715721399785</c:v>
                </c:pt>
                <c:pt idx="49">
                  <c:v>366.86902328666474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866-40DB-83FD-D6C1DE741C69}"/>
            </c:ext>
          </c:extLst>
        </c:ser>
        <c:ser>
          <c:idx val="5"/>
          <c:order val="5"/>
          <c:tx>
            <c:v>MR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yVal>
            <c:numRef>
              <c:f>mandate!#REF!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866-40DB-83FD-D6C1DE741C69}"/>
            </c:ext>
          </c:extLst>
        </c:ser>
        <c:ser>
          <c:idx val="6"/>
          <c:order val="6"/>
          <c:tx>
            <c:v>mandate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yVal>
            <c:numRef>
              <c:f>mandate!$L$2:$L$51</c:f>
              <c:numCache>
                <c:formatCode>General</c:formatCode>
                <c:ptCount val="50"/>
                <c:pt idx="0">
                  <c:v>8000</c:v>
                </c:pt>
                <c:pt idx="1">
                  <c:v>8000</c:v>
                </c:pt>
                <c:pt idx="2">
                  <c:v>8000</c:v>
                </c:pt>
                <c:pt idx="3">
                  <c:v>8000</c:v>
                </c:pt>
                <c:pt idx="4">
                  <c:v>8000</c:v>
                </c:pt>
                <c:pt idx="5">
                  <c:v>8000</c:v>
                </c:pt>
                <c:pt idx="6">
                  <c:v>8000</c:v>
                </c:pt>
                <c:pt idx="7">
                  <c:v>8000</c:v>
                </c:pt>
                <c:pt idx="8">
                  <c:v>8000</c:v>
                </c:pt>
                <c:pt idx="9">
                  <c:v>8000</c:v>
                </c:pt>
                <c:pt idx="10">
                  <c:v>8000</c:v>
                </c:pt>
                <c:pt idx="11">
                  <c:v>8000</c:v>
                </c:pt>
                <c:pt idx="12">
                  <c:v>8000</c:v>
                </c:pt>
                <c:pt idx="13">
                  <c:v>8000</c:v>
                </c:pt>
                <c:pt idx="14">
                  <c:v>8000</c:v>
                </c:pt>
                <c:pt idx="15">
                  <c:v>8000</c:v>
                </c:pt>
                <c:pt idx="16">
                  <c:v>8000</c:v>
                </c:pt>
                <c:pt idx="17">
                  <c:v>8000</c:v>
                </c:pt>
                <c:pt idx="18">
                  <c:v>8000</c:v>
                </c:pt>
                <c:pt idx="19">
                  <c:v>8000</c:v>
                </c:pt>
                <c:pt idx="20">
                  <c:v>8000</c:v>
                </c:pt>
                <c:pt idx="21">
                  <c:v>8000</c:v>
                </c:pt>
                <c:pt idx="22">
                  <c:v>8000</c:v>
                </c:pt>
                <c:pt idx="23">
                  <c:v>8000</c:v>
                </c:pt>
                <c:pt idx="24">
                  <c:v>8000</c:v>
                </c:pt>
                <c:pt idx="25">
                  <c:v>8000</c:v>
                </c:pt>
                <c:pt idx="26">
                  <c:v>8000</c:v>
                </c:pt>
                <c:pt idx="27">
                  <c:v>8000</c:v>
                </c:pt>
                <c:pt idx="28">
                  <c:v>8000</c:v>
                </c:pt>
                <c:pt idx="29">
                  <c:v>8000</c:v>
                </c:pt>
                <c:pt idx="30">
                  <c:v>8000</c:v>
                </c:pt>
                <c:pt idx="31">
                  <c:v>8000</c:v>
                </c:pt>
                <c:pt idx="32">
                  <c:v>8000</c:v>
                </c:pt>
                <c:pt idx="33">
                  <c:v>8000</c:v>
                </c:pt>
                <c:pt idx="34">
                  <c:v>8000</c:v>
                </c:pt>
                <c:pt idx="35">
                  <c:v>8000</c:v>
                </c:pt>
                <c:pt idx="36">
                  <c:v>8000</c:v>
                </c:pt>
                <c:pt idx="37">
                  <c:v>8000</c:v>
                </c:pt>
                <c:pt idx="38">
                  <c:v>8000</c:v>
                </c:pt>
                <c:pt idx="39">
                  <c:v>8000</c:v>
                </c:pt>
                <c:pt idx="40">
                  <c:v>8000</c:v>
                </c:pt>
                <c:pt idx="41">
                  <c:v>8000</c:v>
                </c:pt>
                <c:pt idx="42">
                  <c:v>8000</c:v>
                </c:pt>
                <c:pt idx="43">
                  <c:v>8000</c:v>
                </c:pt>
                <c:pt idx="44">
                  <c:v>8000</c:v>
                </c:pt>
                <c:pt idx="45">
                  <c:v>8000</c:v>
                </c:pt>
                <c:pt idx="46">
                  <c:v>8000</c:v>
                </c:pt>
                <c:pt idx="47">
                  <c:v>8000</c:v>
                </c:pt>
                <c:pt idx="48">
                  <c:v>8000</c:v>
                </c:pt>
                <c:pt idx="49">
                  <c:v>8000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866-40DB-83FD-D6C1DE741C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5370287"/>
        <c:axId val="855371951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mandate!$D$2:$D$51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mandate!$A$2:$A$51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5-2866-40DB-83FD-D6C1DE741C69}"/>
                  </c:ext>
                </c:extLst>
              </c15:ser>
            </c15:filteredScatterSeries>
            <c15:filteredScatterSeries>
              <c15:ser>
                <c:idx val="1"/>
                <c:order val="1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mandate!$D$2:$D$51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mandate!$B$2:$B$51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0.5</c:v>
                      </c:pt>
                      <c:pt idx="1">
                        <c:v>0.49</c:v>
                      </c:pt>
                      <c:pt idx="2">
                        <c:v>0.48</c:v>
                      </c:pt>
                      <c:pt idx="3">
                        <c:v>0.47</c:v>
                      </c:pt>
                      <c:pt idx="4">
                        <c:v>0.46</c:v>
                      </c:pt>
                      <c:pt idx="5">
                        <c:v>0.45</c:v>
                      </c:pt>
                      <c:pt idx="6">
                        <c:v>0.44</c:v>
                      </c:pt>
                      <c:pt idx="7">
                        <c:v>0.43</c:v>
                      </c:pt>
                      <c:pt idx="8">
                        <c:v>0.42</c:v>
                      </c:pt>
                      <c:pt idx="9">
                        <c:v>0.41</c:v>
                      </c:pt>
                      <c:pt idx="10">
                        <c:v>0.4</c:v>
                      </c:pt>
                      <c:pt idx="11">
                        <c:v>0.39</c:v>
                      </c:pt>
                      <c:pt idx="12">
                        <c:v>0.38</c:v>
                      </c:pt>
                      <c:pt idx="13">
                        <c:v>0.37</c:v>
                      </c:pt>
                      <c:pt idx="14">
                        <c:v>0.36</c:v>
                      </c:pt>
                      <c:pt idx="15">
                        <c:v>0.35</c:v>
                      </c:pt>
                      <c:pt idx="16">
                        <c:v>0.34</c:v>
                      </c:pt>
                      <c:pt idx="17">
                        <c:v>0.33</c:v>
                      </c:pt>
                      <c:pt idx="18">
                        <c:v>0.32</c:v>
                      </c:pt>
                      <c:pt idx="19">
                        <c:v>0.31</c:v>
                      </c:pt>
                      <c:pt idx="20">
                        <c:v>0.3</c:v>
                      </c:pt>
                      <c:pt idx="21">
                        <c:v>0.28999999999999998</c:v>
                      </c:pt>
                      <c:pt idx="22">
                        <c:v>0.28000000000000003</c:v>
                      </c:pt>
                      <c:pt idx="23">
                        <c:v>0.27</c:v>
                      </c:pt>
                      <c:pt idx="24">
                        <c:v>0.26</c:v>
                      </c:pt>
                      <c:pt idx="25">
                        <c:v>0.25</c:v>
                      </c:pt>
                      <c:pt idx="26">
                        <c:v>0.24</c:v>
                      </c:pt>
                      <c:pt idx="27">
                        <c:v>0.23</c:v>
                      </c:pt>
                      <c:pt idx="28">
                        <c:v>0.22</c:v>
                      </c:pt>
                      <c:pt idx="29">
                        <c:v>0.21</c:v>
                      </c:pt>
                      <c:pt idx="30">
                        <c:v>0.2</c:v>
                      </c:pt>
                      <c:pt idx="31">
                        <c:v>0.19</c:v>
                      </c:pt>
                      <c:pt idx="32">
                        <c:v>0.18</c:v>
                      </c:pt>
                      <c:pt idx="33">
                        <c:v>0.17</c:v>
                      </c:pt>
                      <c:pt idx="34">
                        <c:v>0.16</c:v>
                      </c:pt>
                      <c:pt idx="35">
                        <c:v>0.15</c:v>
                      </c:pt>
                      <c:pt idx="36">
                        <c:v>0.14000000000000001</c:v>
                      </c:pt>
                      <c:pt idx="37">
                        <c:v>0.13</c:v>
                      </c:pt>
                      <c:pt idx="38">
                        <c:v>0.12</c:v>
                      </c:pt>
                      <c:pt idx="39">
                        <c:v>0.11</c:v>
                      </c:pt>
                      <c:pt idx="40">
                        <c:v>0.1</c:v>
                      </c:pt>
                      <c:pt idx="41">
                        <c:v>0.09</c:v>
                      </c:pt>
                      <c:pt idx="42">
                        <c:v>0.08</c:v>
                      </c:pt>
                      <c:pt idx="43">
                        <c:v>7.0000000000000007E-2</c:v>
                      </c:pt>
                      <c:pt idx="44">
                        <c:v>0.06</c:v>
                      </c:pt>
                      <c:pt idx="45">
                        <c:v>0.05</c:v>
                      </c:pt>
                      <c:pt idx="46">
                        <c:v>0.04</c:v>
                      </c:pt>
                      <c:pt idx="47">
                        <c:v>0.03</c:v>
                      </c:pt>
                      <c:pt idx="48">
                        <c:v>0.02</c:v>
                      </c:pt>
                      <c:pt idx="49">
                        <c:v>0.01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2866-40DB-83FD-D6C1DE741C69}"/>
                  </c:ext>
                </c:extLst>
              </c15:ser>
            </c15:filteredScatterSeries>
          </c:ext>
        </c:extLst>
      </c:scatterChart>
      <c:valAx>
        <c:axId val="855370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5371951"/>
        <c:crosses val="autoZero"/>
        <c:crossBetween val="midCat"/>
      </c:valAx>
      <c:valAx>
        <c:axId val="85537195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5370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143565</xdr:colOff>
      <xdr:row>7</xdr:row>
      <xdr:rowOff>187738</xdr:rowOff>
    </xdr:from>
    <xdr:to>
      <xdr:col>23</xdr:col>
      <xdr:colOff>366780</xdr:colOff>
      <xdr:row>25</xdr:row>
      <xdr:rowOff>134869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F809CFA-AE21-4A6C-81EB-5E58B4869C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295413</xdr:colOff>
      <xdr:row>9</xdr:row>
      <xdr:rowOff>16152</xdr:rowOff>
    </xdr:from>
    <xdr:to>
      <xdr:col>23</xdr:col>
      <xdr:colOff>433042</xdr:colOff>
      <xdr:row>26</xdr:row>
      <xdr:rowOff>108502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31B10E-5681-4BF9-8A68-6EE65CCC5D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122FA-7CF3-4894-9441-C3205C8E1BC6}">
  <dimension ref="A1:S51"/>
  <sheetViews>
    <sheetView tabSelected="1" zoomScale="115" zoomScaleNormal="115" workbookViewId="0">
      <selection activeCell="O22" sqref="O22"/>
    </sheetView>
  </sheetViews>
  <sheetFormatPr baseColWidth="10" defaultColWidth="8.83203125" defaultRowHeight="15" x14ac:dyDescent="0.2"/>
  <cols>
    <col min="1" max="1" width="11.5" bestFit="1" customWidth="1"/>
    <col min="2" max="2" width="5.33203125" bestFit="1" customWidth="1"/>
    <col min="3" max="3" width="16.6640625" bestFit="1" customWidth="1"/>
    <col min="4" max="4" width="3.33203125" bestFit="1" customWidth="1"/>
    <col min="5" max="6" width="13.1640625" bestFit="1" customWidth="1"/>
    <col min="7" max="7" width="7.83203125" bestFit="1" customWidth="1"/>
    <col min="8" max="8" width="6.83203125" bestFit="1" customWidth="1"/>
    <col min="9" max="9" width="7.83203125" bestFit="1" customWidth="1"/>
    <col min="10" max="10" width="33.6640625" bestFit="1" customWidth="1"/>
    <col min="11" max="11" width="14" bestFit="1" customWidth="1"/>
    <col min="12" max="12" width="18.5" bestFit="1" customWidth="1"/>
    <col min="13" max="13" width="9.33203125" bestFit="1" customWidth="1"/>
    <col min="14" max="14" width="7.83203125" bestFit="1" customWidth="1"/>
    <col min="15" max="15" width="12.83203125" bestFit="1" customWidth="1"/>
    <col min="16" max="16" width="17.5" bestFit="1" customWidth="1"/>
    <col min="17" max="17" width="9.83203125" customWidth="1"/>
    <col min="18" max="18" width="2.83203125" bestFit="1" customWidth="1"/>
    <col min="19" max="19" width="14.33203125" bestFit="1" customWidth="1"/>
    <col min="22" max="23" width="14.6640625" customWidth="1"/>
  </cols>
  <sheetData>
    <row r="1" spans="1:19" x14ac:dyDescent="0.2">
      <c r="A1" s="2" t="s">
        <v>13</v>
      </c>
      <c r="B1" s="2" t="s">
        <v>0</v>
      </c>
      <c r="C1" s="2" t="s">
        <v>9</v>
      </c>
      <c r="D1" s="2" t="s">
        <v>1</v>
      </c>
      <c r="E1" s="2" t="s">
        <v>21</v>
      </c>
      <c r="F1" s="2" t="s">
        <v>20</v>
      </c>
      <c r="G1" s="2" t="s">
        <v>2</v>
      </c>
      <c r="H1" s="2" t="s">
        <v>8</v>
      </c>
      <c r="I1" s="2" t="s">
        <v>3</v>
      </c>
      <c r="J1" s="2" t="s">
        <v>15</v>
      </c>
      <c r="K1" s="2" t="s">
        <v>22</v>
      </c>
      <c r="L1" s="2" t="s">
        <v>23</v>
      </c>
      <c r="M1" s="4" t="s">
        <v>16</v>
      </c>
      <c r="N1" s="14"/>
      <c r="O1" s="5" t="s">
        <v>14</v>
      </c>
      <c r="P1" s="5" t="s">
        <v>17</v>
      </c>
      <c r="Q1" s="5" t="s">
        <v>5</v>
      </c>
      <c r="R1" s="5"/>
      <c r="S1" s="6" t="s">
        <v>6</v>
      </c>
    </row>
    <row r="2" spans="1:19" x14ac:dyDescent="0.2">
      <c r="A2">
        <v>1</v>
      </c>
      <c r="B2">
        <v>0.5</v>
      </c>
      <c r="C2">
        <f>B2*30000</f>
        <v>15000</v>
      </c>
      <c r="D2">
        <v>1</v>
      </c>
      <c r="E2">
        <f>15300-150*D2</f>
        <v>15150</v>
      </c>
      <c r="F2">
        <f>$B$2*30000</f>
        <v>15000</v>
      </c>
      <c r="G2" s="7">
        <f>(B2*SQRT(20000)+(1-B2)*SQRT(50000))^2</f>
        <v>33311.3883008419</v>
      </c>
      <c r="H2" s="7">
        <f>B2*20000+(1-B2)*50000-G2</f>
        <v>1688.6116991581002</v>
      </c>
      <c r="I2" s="7">
        <f>C2+H2</f>
        <v>16688.6116991581</v>
      </c>
      <c r="J2" s="7">
        <f>17500-333*D2</f>
        <v>17167</v>
      </c>
      <c r="K2" s="7">
        <f>17500-666*D2</f>
        <v>16834</v>
      </c>
      <c r="L2" s="8">
        <f>C2-K2</f>
        <v>-1834</v>
      </c>
      <c r="M2" s="15" t="s">
        <v>11</v>
      </c>
      <c r="N2" s="7" t="s">
        <v>10</v>
      </c>
      <c r="O2" s="7">
        <f>J2-$N$3</f>
        <v>1668.33</v>
      </c>
      <c r="P2" s="7">
        <f>SUM(O2:O7)</f>
        <v>5014.9799999999996</v>
      </c>
      <c r="Q2" s="7">
        <f>$N$3-C2</f>
        <v>498.67000000000007</v>
      </c>
      <c r="S2" s="9">
        <f>SUM(Q2:Q7)</f>
        <v>7492.02</v>
      </c>
    </row>
    <row r="3" spans="1:19" x14ac:dyDescent="0.2">
      <c r="A3">
        <v>2</v>
      </c>
      <c r="B3">
        <v>0.49</v>
      </c>
      <c r="C3">
        <f t="shared" ref="C3:C51" si="0">B3*30000</f>
        <v>14700</v>
      </c>
      <c r="D3">
        <v>2</v>
      </c>
      <c r="E3">
        <f>15300-150*D3</f>
        <v>15000</v>
      </c>
      <c r="F3">
        <f>$B$2*30000-((0.01*30000))/2*(D3-1)</f>
        <v>14850</v>
      </c>
      <c r="G3" s="7">
        <f>(B3*SQRT(20000)+(1-B3)*SQRT(50000))^2</f>
        <v>33612.063745521562</v>
      </c>
      <c r="H3" s="7">
        <f>B3*20000+(1-B3)*50000-G3</f>
        <v>1687.9362544784381</v>
      </c>
      <c r="I3" s="7">
        <f>C3+H3</f>
        <v>16387.936254478438</v>
      </c>
      <c r="J3" s="7">
        <f>17500-333*D3</f>
        <v>16834</v>
      </c>
      <c r="K3" s="7">
        <f>17500-666*D3</f>
        <v>16168</v>
      </c>
      <c r="L3" s="8">
        <f>C3-K3</f>
        <v>-1468</v>
      </c>
      <c r="M3" s="16">
        <v>6.01</v>
      </c>
      <c r="N3" s="17">
        <f>17500-333*M3</f>
        <v>15498.67</v>
      </c>
      <c r="O3" s="7">
        <f t="shared" ref="O3:O33" si="1">J3-$N$3</f>
        <v>1335.33</v>
      </c>
      <c r="P3" s="7"/>
      <c r="Q3" s="7">
        <f t="shared" ref="Q3:Q7" si="2">$N$3-C3</f>
        <v>798.67000000000007</v>
      </c>
      <c r="R3" s="19"/>
      <c r="S3" s="9"/>
    </row>
    <row r="4" spans="1:19" x14ac:dyDescent="0.2">
      <c r="A4">
        <v>3</v>
      </c>
      <c r="B4">
        <v>0.48</v>
      </c>
      <c r="C4">
        <f t="shared" si="0"/>
        <v>14400</v>
      </c>
      <c r="D4">
        <v>3</v>
      </c>
      <c r="E4">
        <f>15300-150*D4</f>
        <v>14850</v>
      </c>
      <c r="F4">
        <f t="shared" ref="F4:F51" si="3">$B$2*30000-((0.01*30000))/2*(D4-1)</f>
        <v>14700</v>
      </c>
      <c r="G4" s="7">
        <f>(B4*SQRT(20000)+(1-B4)*SQRT(50000))^2</f>
        <v>33914.090079560548</v>
      </c>
      <c r="H4" s="7">
        <f>B4*20000+(1-B4)*50000-G4</f>
        <v>1685.9099204394515</v>
      </c>
      <c r="I4" s="7">
        <f>C4+H4</f>
        <v>16085.909920439452</v>
      </c>
      <c r="J4" s="7">
        <f>17500-333*D4</f>
        <v>16501</v>
      </c>
      <c r="K4" s="7">
        <f>17500-666*D4</f>
        <v>15502</v>
      </c>
      <c r="L4" s="8">
        <f>C4-K4</f>
        <v>-1102</v>
      </c>
      <c r="M4" s="18"/>
      <c r="O4" s="7">
        <f t="shared" si="1"/>
        <v>1002.3299999999999</v>
      </c>
      <c r="P4" s="7"/>
      <c r="Q4" s="7">
        <f t="shared" si="2"/>
        <v>1098.67</v>
      </c>
      <c r="R4" s="19"/>
      <c r="S4" s="9"/>
    </row>
    <row r="5" spans="1:19" x14ac:dyDescent="0.2">
      <c r="A5">
        <v>4</v>
      </c>
      <c r="B5">
        <v>0.47</v>
      </c>
      <c r="C5">
        <f t="shared" si="0"/>
        <v>14100</v>
      </c>
      <c r="D5">
        <v>4</v>
      </c>
      <c r="E5">
        <f>15300-150*D5</f>
        <v>14700</v>
      </c>
      <c r="F5">
        <f t="shared" si="3"/>
        <v>14550</v>
      </c>
      <c r="G5" s="7">
        <f>(B5*SQRT(20000)+(1-B5)*SQRT(50000))^2</f>
        <v>34217.467302958867</v>
      </c>
      <c r="H5" s="7">
        <f>B5*20000+(1-B5)*50000-G5</f>
        <v>1682.5326970411334</v>
      </c>
      <c r="I5" s="7">
        <f>C5+H5</f>
        <v>15782.532697041133</v>
      </c>
      <c r="J5" s="7">
        <f>17500-333*D5</f>
        <v>16168</v>
      </c>
      <c r="K5" s="7">
        <f>17500-666*D5</f>
        <v>14836</v>
      </c>
      <c r="L5" s="8">
        <f>C5-K5</f>
        <v>-736</v>
      </c>
      <c r="M5" s="22"/>
      <c r="N5" s="23"/>
      <c r="O5" s="24">
        <f t="shared" si="1"/>
        <v>669.32999999999993</v>
      </c>
      <c r="P5" s="24"/>
      <c r="Q5" s="7">
        <f t="shared" si="2"/>
        <v>1398.67</v>
      </c>
      <c r="R5" s="7"/>
      <c r="S5" s="9"/>
    </row>
    <row r="6" spans="1:19" ht="16" thickBot="1" x14ac:dyDescent="0.25">
      <c r="A6">
        <v>5</v>
      </c>
      <c r="B6">
        <v>0.46</v>
      </c>
      <c r="C6">
        <f t="shared" si="0"/>
        <v>13800</v>
      </c>
      <c r="D6">
        <v>5</v>
      </c>
      <c r="E6">
        <f>15300-150*D6</f>
        <v>14550</v>
      </c>
      <c r="F6">
        <f t="shared" si="3"/>
        <v>14400</v>
      </c>
      <c r="G6" s="7">
        <f>(B6*SQRT(20000)+(1-B6)*SQRT(50000))^2</f>
        <v>34522.195415716516</v>
      </c>
      <c r="H6" s="7">
        <f>B6*20000+(1-B6)*50000-G6</f>
        <v>1677.8045842834836</v>
      </c>
      <c r="I6" s="7">
        <f>C6+H6</f>
        <v>15477.804584283484</v>
      </c>
      <c r="J6" s="7">
        <f>17500-333*D6</f>
        <v>15835</v>
      </c>
      <c r="K6" s="7">
        <f>17500-666*D6</f>
        <v>14170</v>
      </c>
      <c r="L6" s="8">
        <f>C6-K6</f>
        <v>-370</v>
      </c>
      <c r="M6" s="25"/>
      <c r="N6" s="26"/>
      <c r="O6" s="24">
        <f t="shared" si="1"/>
        <v>336.32999999999993</v>
      </c>
      <c r="P6" s="24"/>
      <c r="Q6" s="29">
        <f t="shared" si="2"/>
        <v>1698.67</v>
      </c>
      <c r="R6" s="7"/>
      <c r="S6" s="9"/>
    </row>
    <row r="7" spans="1:19" ht="16" thickBot="1" x14ac:dyDescent="0.25">
      <c r="A7">
        <v>6</v>
      </c>
      <c r="B7">
        <v>0.45</v>
      </c>
      <c r="C7">
        <f t="shared" si="0"/>
        <v>13500</v>
      </c>
      <c r="D7">
        <v>6</v>
      </c>
      <c r="E7">
        <f>15300-150*D7</f>
        <v>14400</v>
      </c>
      <c r="F7">
        <f t="shared" si="3"/>
        <v>14250</v>
      </c>
      <c r="G7" s="7">
        <f>(B7*SQRT(20000)+(1-B7)*SQRT(50000))^2</f>
        <v>34828.274417833476</v>
      </c>
      <c r="H7" s="7">
        <f>B7*20000+(1-B7)*50000-G7</f>
        <v>1671.725582166524</v>
      </c>
      <c r="I7" s="10">
        <f>C7+H7</f>
        <v>15171.725582166524</v>
      </c>
      <c r="J7" s="7">
        <f>17500-333*D7</f>
        <v>15502</v>
      </c>
      <c r="K7" s="7">
        <f>17500-666*D7</f>
        <v>13504</v>
      </c>
      <c r="L7" s="8">
        <f>C7-K7</f>
        <v>-4</v>
      </c>
      <c r="M7" s="27"/>
      <c r="N7" s="28"/>
      <c r="O7" s="28">
        <f t="shared" si="1"/>
        <v>3.3299999999999272</v>
      </c>
      <c r="P7" s="28"/>
      <c r="Q7" s="11">
        <f t="shared" si="2"/>
        <v>1998.67</v>
      </c>
      <c r="R7" s="11"/>
      <c r="S7" s="12"/>
    </row>
    <row r="8" spans="1:19" x14ac:dyDescent="0.2">
      <c r="A8">
        <v>7</v>
      </c>
      <c r="B8">
        <v>0.44</v>
      </c>
      <c r="C8">
        <f t="shared" si="0"/>
        <v>13200</v>
      </c>
      <c r="D8">
        <v>7</v>
      </c>
      <c r="E8">
        <f>15300-150*D8</f>
        <v>14250</v>
      </c>
      <c r="F8">
        <f t="shared" si="3"/>
        <v>14100</v>
      </c>
      <c r="G8" s="7">
        <f>(B8*SQRT(20000)+(1-B8)*SQRT(50000))^2</f>
        <v>35135.704309309782</v>
      </c>
      <c r="H8" s="7">
        <f>B8*20000+(1-B8)*50000-G8</f>
        <v>1664.2956906902182</v>
      </c>
      <c r="I8" s="7">
        <f>C8+H8</f>
        <v>14864.295690690218</v>
      </c>
      <c r="J8" s="7">
        <f>17500-333*D8</f>
        <v>15169</v>
      </c>
      <c r="K8" s="7">
        <f>17500-666*D8</f>
        <v>12838</v>
      </c>
      <c r="L8" s="7">
        <f>C8-K8</f>
        <v>362</v>
      </c>
      <c r="M8" s="24"/>
      <c r="N8" s="24"/>
      <c r="O8" s="24">
        <f t="shared" si="1"/>
        <v>-329.67000000000007</v>
      </c>
      <c r="P8" s="24"/>
      <c r="Q8" s="7"/>
      <c r="R8" s="7"/>
      <c r="S8" s="7"/>
    </row>
    <row r="9" spans="1:19" x14ac:dyDescent="0.2">
      <c r="A9">
        <v>8</v>
      </c>
      <c r="B9">
        <v>0.43</v>
      </c>
      <c r="C9">
        <f t="shared" si="0"/>
        <v>12900</v>
      </c>
      <c r="D9">
        <v>8</v>
      </c>
      <c r="E9">
        <f>15300-150*D9</f>
        <v>14100</v>
      </c>
      <c r="F9">
        <f t="shared" si="3"/>
        <v>13950</v>
      </c>
      <c r="G9" s="7">
        <f>(B9*SQRT(20000)+(1-B9)*SQRT(50000))^2</f>
        <v>35444.485090145405</v>
      </c>
      <c r="H9" s="7">
        <f>B9*20000+(1-B9)*50000-G9</f>
        <v>1655.5149098545953</v>
      </c>
      <c r="I9" s="7">
        <f>C9+H9</f>
        <v>14555.514909854595</v>
      </c>
      <c r="J9" s="7">
        <f>17500-333*D9</f>
        <v>14836</v>
      </c>
      <c r="K9" s="7">
        <f>17500-666*D9</f>
        <v>12172</v>
      </c>
      <c r="L9" s="7">
        <f>C9-K9</f>
        <v>728</v>
      </c>
      <c r="M9" s="24"/>
      <c r="N9" s="24"/>
      <c r="O9" s="24">
        <f t="shared" si="1"/>
        <v>-662.67000000000007</v>
      </c>
      <c r="P9" s="24"/>
      <c r="Q9" s="7"/>
      <c r="R9" s="7"/>
      <c r="S9" s="7"/>
    </row>
    <row r="10" spans="1:19" x14ac:dyDescent="0.2">
      <c r="A10">
        <v>9</v>
      </c>
      <c r="B10">
        <v>0.42</v>
      </c>
      <c r="C10">
        <f t="shared" si="0"/>
        <v>12600</v>
      </c>
      <c r="D10">
        <v>9</v>
      </c>
      <c r="E10">
        <f>15300-150*D10</f>
        <v>13950</v>
      </c>
      <c r="F10">
        <f t="shared" si="3"/>
        <v>13800</v>
      </c>
      <c r="G10" s="7">
        <f>(B10*SQRT(20000)+(1-B10)*SQRT(50000))^2</f>
        <v>35754.616760340352</v>
      </c>
      <c r="H10" s="7">
        <f>B10*20000+(1-B10)*50000-G10</f>
        <v>1645.3832396596481</v>
      </c>
      <c r="I10" s="7">
        <f>C10+H10</f>
        <v>14245.383239659648</v>
      </c>
      <c r="J10" s="7">
        <f>17500-333*D10</f>
        <v>14503</v>
      </c>
      <c r="K10" s="7">
        <f>17500-666*D10</f>
        <v>11506</v>
      </c>
      <c r="L10" s="7">
        <f>C10-K10</f>
        <v>1094</v>
      </c>
      <c r="M10" s="24"/>
      <c r="N10" s="24"/>
      <c r="O10" s="24">
        <f t="shared" si="1"/>
        <v>-995.67000000000007</v>
      </c>
      <c r="P10" s="24"/>
      <c r="Q10" s="7"/>
      <c r="R10" s="7"/>
      <c r="S10" s="7"/>
    </row>
    <row r="11" spans="1:19" x14ac:dyDescent="0.2">
      <c r="A11">
        <v>10</v>
      </c>
      <c r="B11">
        <v>0.41</v>
      </c>
      <c r="C11">
        <f t="shared" si="0"/>
        <v>12300</v>
      </c>
      <c r="D11">
        <v>10</v>
      </c>
      <c r="E11">
        <f>15300-150*D11</f>
        <v>13800</v>
      </c>
      <c r="F11">
        <f t="shared" si="3"/>
        <v>13650</v>
      </c>
      <c r="G11" s="7">
        <f>(B11*SQRT(20000)+(1-B11)*SQRT(50000))^2</f>
        <v>36066.099319894616</v>
      </c>
      <c r="H11" s="7">
        <f>B11*20000+(1-B11)*50000-G11</f>
        <v>1633.9006801053838</v>
      </c>
      <c r="I11" s="7">
        <f>C11+H11</f>
        <v>13933.900680105384</v>
      </c>
      <c r="J11" s="7">
        <f>17500-333*D11</f>
        <v>14170</v>
      </c>
      <c r="K11" s="7">
        <f>17500-666*D11</f>
        <v>10840</v>
      </c>
      <c r="L11" s="7">
        <f>C11-K11</f>
        <v>1460</v>
      </c>
      <c r="M11" s="24"/>
      <c r="N11" s="24"/>
      <c r="O11" s="24">
        <f t="shared" si="1"/>
        <v>-1328.67</v>
      </c>
      <c r="P11" s="24"/>
      <c r="Q11" s="7"/>
      <c r="R11" s="7"/>
      <c r="S11" s="7"/>
    </row>
    <row r="12" spans="1:19" x14ac:dyDescent="0.2">
      <c r="A12">
        <v>11</v>
      </c>
      <c r="B12">
        <v>0.4</v>
      </c>
      <c r="C12">
        <f t="shared" si="0"/>
        <v>12000</v>
      </c>
      <c r="D12">
        <v>11</v>
      </c>
      <c r="E12">
        <f>15300-150*D12</f>
        <v>13650</v>
      </c>
      <c r="F12">
        <f t="shared" si="3"/>
        <v>13500</v>
      </c>
      <c r="G12" s="7">
        <f>(B12*SQRT(20000)+(1-B12)*SQRT(50000))^2</f>
        <v>36378.932768808219</v>
      </c>
      <c r="H12" s="7">
        <f>B12*20000+(1-B12)*50000-G12</f>
        <v>1621.0672311917806</v>
      </c>
      <c r="I12" s="7">
        <f>C12+H12</f>
        <v>13621.067231191781</v>
      </c>
      <c r="J12" s="7">
        <f>17500-333*D12</f>
        <v>13837</v>
      </c>
      <c r="K12" s="7">
        <f>17500-666*D12</f>
        <v>10174</v>
      </c>
      <c r="L12" s="7">
        <f>C12-K12</f>
        <v>1826</v>
      </c>
      <c r="M12" s="24"/>
      <c r="N12" s="24"/>
      <c r="O12" s="24">
        <f t="shared" si="1"/>
        <v>-1661.67</v>
      </c>
      <c r="P12" s="24"/>
      <c r="Q12" s="7"/>
      <c r="R12" s="7"/>
      <c r="S12" s="7"/>
    </row>
    <row r="13" spans="1:19" x14ac:dyDescent="0.2">
      <c r="A13">
        <v>12</v>
      </c>
      <c r="B13">
        <v>0.39</v>
      </c>
      <c r="C13">
        <f t="shared" si="0"/>
        <v>11700</v>
      </c>
      <c r="D13">
        <v>12</v>
      </c>
      <c r="E13">
        <f>15300-150*D13</f>
        <v>13500</v>
      </c>
      <c r="F13">
        <f t="shared" si="3"/>
        <v>13350</v>
      </c>
      <c r="G13" s="7">
        <f>(B13*SQRT(20000)+(1-B13)*SQRT(50000))^2</f>
        <v>36693.117107081147</v>
      </c>
      <c r="H13" s="7">
        <f>B13*20000+(1-B13)*50000-G13</f>
        <v>1606.882892918853</v>
      </c>
      <c r="I13" s="7">
        <f>C13+H13</f>
        <v>13306.882892918853</v>
      </c>
      <c r="J13" s="7">
        <f>17500-333*D13</f>
        <v>13504</v>
      </c>
      <c r="K13" s="7">
        <f>17500-666*D13</f>
        <v>9508</v>
      </c>
      <c r="L13" s="7">
        <f>C13-K13</f>
        <v>2192</v>
      </c>
      <c r="M13" s="24"/>
      <c r="N13" s="24"/>
      <c r="O13" s="24">
        <f t="shared" si="1"/>
        <v>-1994.67</v>
      </c>
      <c r="P13" s="24"/>
      <c r="Q13" s="7"/>
      <c r="R13" s="7"/>
      <c r="S13" s="7"/>
    </row>
    <row r="14" spans="1:19" x14ac:dyDescent="0.2">
      <c r="A14">
        <v>13</v>
      </c>
      <c r="B14">
        <v>0.38</v>
      </c>
      <c r="C14">
        <f t="shared" si="0"/>
        <v>11400</v>
      </c>
      <c r="D14">
        <v>13</v>
      </c>
      <c r="E14">
        <f>15300-150*D14</f>
        <v>13350</v>
      </c>
      <c r="F14">
        <f t="shared" si="3"/>
        <v>13200</v>
      </c>
      <c r="G14" s="7">
        <f>(B14*SQRT(20000)+(1-B14)*SQRT(50000))^2</f>
        <v>37008.652334713399</v>
      </c>
      <c r="H14" s="7">
        <f>B14*20000+(1-B14)*50000-G14</f>
        <v>1591.3476652866011</v>
      </c>
      <c r="I14" s="7">
        <f>C14+H14</f>
        <v>12991.347665286601</v>
      </c>
      <c r="J14" s="7">
        <f>17500-333*D14</f>
        <v>13171</v>
      </c>
      <c r="K14" s="7">
        <f>17500-666*D14</f>
        <v>8842</v>
      </c>
      <c r="L14" s="7">
        <f>C14-K14</f>
        <v>2558</v>
      </c>
      <c r="M14" s="7"/>
      <c r="N14" s="7"/>
      <c r="O14" s="7">
        <f t="shared" si="1"/>
        <v>-2327.67</v>
      </c>
      <c r="P14" s="7"/>
      <c r="Q14" s="7"/>
      <c r="R14" s="7"/>
      <c r="S14" s="7"/>
    </row>
    <row r="15" spans="1:19" x14ac:dyDescent="0.2">
      <c r="A15">
        <v>14</v>
      </c>
      <c r="B15">
        <v>0.37</v>
      </c>
      <c r="C15">
        <f t="shared" si="0"/>
        <v>11100</v>
      </c>
      <c r="D15">
        <v>14</v>
      </c>
      <c r="E15">
        <f>15300-150*D15</f>
        <v>13200</v>
      </c>
      <c r="F15">
        <f t="shared" si="3"/>
        <v>13050</v>
      </c>
      <c r="G15" s="7">
        <f>(B15*SQRT(20000)+(1-B15)*SQRT(50000))^2</f>
        <v>37325.538451704982</v>
      </c>
      <c r="H15" s="7">
        <f>B15*20000+(1-B15)*50000-G15</f>
        <v>1574.4615482950176</v>
      </c>
      <c r="I15" s="7">
        <f>C15+H15</f>
        <v>12674.461548295018</v>
      </c>
      <c r="J15" s="7">
        <f>17500-333*D15</f>
        <v>12838</v>
      </c>
      <c r="K15" s="7">
        <f>17500-666*D15</f>
        <v>8176</v>
      </c>
      <c r="L15" s="7">
        <f>C15-K15</f>
        <v>2924</v>
      </c>
      <c r="M15" s="7"/>
      <c r="N15" s="7"/>
      <c r="O15" s="7">
        <f t="shared" si="1"/>
        <v>-2660.67</v>
      </c>
      <c r="P15" s="7"/>
      <c r="Q15" s="7"/>
      <c r="R15" s="7"/>
      <c r="S15" s="7"/>
    </row>
    <row r="16" spans="1:19" x14ac:dyDescent="0.2">
      <c r="A16">
        <v>15</v>
      </c>
      <c r="B16">
        <v>0.36</v>
      </c>
      <c r="C16">
        <f t="shared" si="0"/>
        <v>10800</v>
      </c>
      <c r="D16">
        <v>15</v>
      </c>
      <c r="E16">
        <f>15300-150*D16</f>
        <v>13050</v>
      </c>
      <c r="F16">
        <f t="shared" si="3"/>
        <v>12900</v>
      </c>
      <c r="G16" s="7">
        <f>(B16*SQRT(20000)+(1-B16)*SQRT(50000))^2</f>
        <v>37643.775458055898</v>
      </c>
      <c r="H16" s="7">
        <f>B16*20000+(1-B16)*50000-G16</f>
        <v>1556.2245419441024</v>
      </c>
      <c r="I16" s="7">
        <f>C16+H16</f>
        <v>12356.224541944102</v>
      </c>
      <c r="J16" s="7">
        <f>17500-333*D16</f>
        <v>12505</v>
      </c>
      <c r="K16" s="7">
        <f>17500-666*D16</f>
        <v>7510</v>
      </c>
      <c r="L16" s="7">
        <f>C16-K16</f>
        <v>3290</v>
      </c>
      <c r="M16" s="7"/>
      <c r="N16" s="7"/>
      <c r="O16" s="7">
        <f t="shared" si="1"/>
        <v>-2993.67</v>
      </c>
      <c r="P16" s="7"/>
      <c r="Q16" s="7"/>
      <c r="R16" s="7"/>
      <c r="S16" s="7"/>
    </row>
    <row r="17" spans="1:19" x14ac:dyDescent="0.2">
      <c r="A17">
        <v>16</v>
      </c>
      <c r="B17">
        <v>0.35</v>
      </c>
      <c r="C17">
        <f t="shared" si="0"/>
        <v>10500</v>
      </c>
      <c r="D17">
        <v>16</v>
      </c>
      <c r="E17">
        <f>15300-150*D17</f>
        <v>12900</v>
      </c>
      <c r="F17">
        <f t="shared" si="3"/>
        <v>12750</v>
      </c>
      <c r="G17" s="7">
        <f>(B17*SQRT(20000)+(1-B17)*SQRT(50000))^2</f>
        <v>37963.363353766123</v>
      </c>
      <c r="H17" s="7">
        <f>B17*20000+(1-B17)*50000-G17</f>
        <v>1536.6366462338774</v>
      </c>
      <c r="I17" s="7">
        <f>C17+H17</f>
        <v>12036.636646233877</v>
      </c>
      <c r="J17" s="7">
        <f>17500-333*D17</f>
        <v>12172</v>
      </c>
      <c r="K17" s="7">
        <f>17500-666*D17</f>
        <v>6844</v>
      </c>
      <c r="L17" s="7">
        <f>C17-K17</f>
        <v>3656</v>
      </c>
      <c r="M17" s="7"/>
      <c r="N17" s="7"/>
      <c r="O17" s="7">
        <f t="shared" si="1"/>
        <v>-3326.67</v>
      </c>
      <c r="P17" s="7"/>
      <c r="Q17" s="7"/>
      <c r="R17" s="7"/>
      <c r="S17" s="7"/>
    </row>
    <row r="18" spans="1:19" x14ac:dyDescent="0.2">
      <c r="A18">
        <v>17</v>
      </c>
      <c r="B18">
        <v>0.34</v>
      </c>
      <c r="C18">
        <f t="shared" si="0"/>
        <v>10200</v>
      </c>
      <c r="D18">
        <v>17</v>
      </c>
      <c r="E18">
        <f>15300-150*D18</f>
        <v>12750</v>
      </c>
      <c r="F18">
        <f t="shared" si="3"/>
        <v>12600</v>
      </c>
      <c r="G18" s="7">
        <f>(B18*SQRT(20000)+(1-B18)*SQRT(50000))^2</f>
        <v>38284.302138835672</v>
      </c>
      <c r="H18" s="7">
        <f>B18*20000+(1-B18)*50000-G18</f>
        <v>1515.6978611643208</v>
      </c>
      <c r="I18" s="7">
        <f>C18+H18</f>
        <v>11715.697861164321</v>
      </c>
      <c r="J18" s="7">
        <f>17500-333*D18</f>
        <v>11839</v>
      </c>
      <c r="K18" s="7">
        <f>17500-666*D18</f>
        <v>6178</v>
      </c>
      <c r="L18" s="7">
        <f>C18-K18</f>
        <v>4022</v>
      </c>
      <c r="M18" s="7"/>
      <c r="N18" s="7"/>
      <c r="O18" s="7">
        <f t="shared" si="1"/>
        <v>-3659.67</v>
      </c>
      <c r="P18" s="7"/>
      <c r="Q18" s="7"/>
      <c r="R18" s="7"/>
      <c r="S18" s="7"/>
    </row>
    <row r="19" spans="1:19" x14ac:dyDescent="0.2">
      <c r="A19">
        <v>18</v>
      </c>
      <c r="B19">
        <v>0.33</v>
      </c>
      <c r="C19">
        <f t="shared" si="0"/>
        <v>9900</v>
      </c>
      <c r="D19">
        <v>18</v>
      </c>
      <c r="E19">
        <f>15300-150*D19</f>
        <v>12600</v>
      </c>
      <c r="F19">
        <f t="shared" si="3"/>
        <v>12450</v>
      </c>
      <c r="G19" s="7">
        <f>(B19*SQRT(20000)+(1-B19)*SQRT(50000))^2</f>
        <v>38606.591813264567</v>
      </c>
      <c r="H19" s="7">
        <f>B19*20000+(1-B19)*50000-G19</f>
        <v>1493.4081867354325</v>
      </c>
      <c r="I19" s="7">
        <f>C19+H19</f>
        <v>11393.408186735433</v>
      </c>
      <c r="J19" s="7">
        <f>17500-333*D19</f>
        <v>11506</v>
      </c>
      <c r="K19" s="7">
        <f>17500-666*D19</f>
        <v>5512</v>
      </c>
      <c r="L19" s="7">
        <f>C19-K19</f>
        <v>4388</v>
      </c>
      <c r="M19" s="7"/>
      <c r="N19" s="7"/>
      <c r="O19" s="7">
        <f t="shared" si="1"/>
        <v>-3992.67</v>
      </c>
      <c r="P19" s="7"/>
      <c r="Q19" s="7"/>
      <c r="R19" s="7"/>
      <c r="S19" s="7"/>
    </row>
    <row r="20" spans="1:19" x14ac:dyDescent="0.2">
      <c r="A20">
        <v>19</v>
      </c>
      <c r="B20">
        <v>0.32</v>
      </c>
      <c r="C20">
        <f t="shared" si="0"/>
        <v>9600</v>
      </c>
      <c r="D20">
        <v>19</v>
      </c>
      <c r="E20">
        <f>15300-150*D20</f>
        <v>12450</v>
      </c>
      <c r="F20">
        <f t="shared" si="3"/>
        <v>12300</v>
      </c>
      <c r="G20" s="7">
        <f>(B20*SQRT(20000)+(1-B20)*SQRT(50000))^2</f>
        <v>38930.23237705278</v>
      </c>
      <c r="H20" s="7">
        <f>B20*20000+(1-B20)*50000-G20</f>
        <v>1469.7676229472199</v>
      </c>
      <c r="I20" s="7">
        <f>C20+H20</f>
        <v>11069.76762294722</v>
      </c>
      <c r="J20" s="7">
        <f>17500-333*D20</f>
        <v>11173</v>
      </c>
      <c r="K20" s="7">
        <f>17500-666*D20</f>
        <v>4846</v>
      </c>
      <c r="L20" s="7">
        <f>C20-K20</f>
        <v>4754</v>
      </c>
      <c r="M20" s="7"/>
      <c r="N20" s="7"/>
      <c r="O20" s="7">
        <f t="shared" si="1"/>
        <v>-4325.67</v>
      </c>
      <c r="P20" s="7"/>
      <c r="Q20" s="7"/>
      <c r="R20" s="7"/>
      <c r="S20" s="7"/>
    </row>
    <row r="21" spans="1:19" x14ac:dyDescent="0.2">
      <c r="A21">
        <v>20</v>
      </c>
      <c r="B21">
        <v>0.31</v>
      </c>
      <c r="C21">
        <f t="shared" si="0"/>
        <v>9300</v>
      </c>
      <c r="D21">
        <v>20</v>
      </c>
      <c r="E21">
        <f>15300-150*D21</f>
        <v>12300</v>
      </c>
      <c r="F21">
        <f t="shared" si="3"/>
        <v>12150</v>
      </c>
      <c r="G21" s="7">
        <f>(B21*SQRT(20000)+(1-B21)*SQRT(50000))^2</f>
        <v>39255.223830200324</v>
      </c>
      <c r="H21" s="7">
        <f>B21*20000+(1-B21)*50000-G21</f>
        <v>1444.7761697996757</v>
      </c>
      <c r="I21" s="7">
        <f>C21+H21</f>
        <v>10744.776169799676</v>
      </c>
      <c r="J21" s="7">
        <f>17500-333*D21</f>
        <v>10840</v>
      </c>
      <c r="K21" s="7">
        <f>17500-666*D21</f>
        <v>4180</v>
      </c>
      <c r="L21" s="7">
        <f>C21-K21</f>
        <v>5120</v>
      </c>
      <c r="M21" s="7"/>
      <c r="N21" s="7"/>
      <c r="O21" s="7">
        <f t="shared" si="1"/>
        <v>-4658.67</v>
      </c>
      <c r="P21" s="7"/>
      <c r="Q21" s="7"/>
      <c r="R21" s="7"/>
      <c r="S21" s="7"/>
    </row>
    <row r="22" spans="1:19" x14ac:dyDescent="0.2">
      <c r="A22">
        <v>21</v>
      </c>
      <c r="B22">
        <v>0.3</v>
      </c>
      <c r="C22">
        <f t="shared" si="0"/>
        <v>9000</v>
      </c>
      <c r="D22">
        <v>21</v>
      </c>
      <c r="E22">
        <f>15300-150*D22</f>
        <v>12150</v>
      </c>
      <c r="F22">
        <f t="shared" si="3"/>
        <v>12000</v>
      </c>
      <c r="G22" s="7">
        <f>(B22*SQRT(20000)+(1-B22)*SQRT(50000))^2</f>
        <v>39581.566172707186</v>
      </c>
      <c r="H22" s="7">
        <f>B22*20000+(1-B22)*50000-G22</f>
        <v>1418.4338272928144</v>
      </c>
      <c r="I22" s="7">
        <f>C22+H22</f>
        <v>10418.433827292814</v>
      </c>
      <c r="J22" s="7">
        <f>17500-333*D22</f>
        <v>10507</v>
      </c>
      <c r="K22" s="7">
        <f>17500-666*D22</f>
        <v>3514</v>
      </c>
      <c r="L22" s="7">
        <f>C22-K22</f>
        <v>5486</v>
      </c>
      <c r="M22" s="7"/>
      <c r="N22" s="7"/>
      <c r="O22" s="7">
        <f t="shared" si="1"/>
        <v>-4991.67</v>
      </c>
      <c r="P22" s="7"/>
      <c r="Q22" s="7"/>
      <c r="R22" s="7"/>
      <c r="S22" s="7"/>
    </row>
    <row r="23" spans="1:19" x14ac:dyDescent="0.2">
      <c r="A23">
        <v>22</v>
      </c>
      <c r="B23">
        <v>0.28999999999999998</v>
      </c>
      <c r="C23">
        <f t="shared" si="0"/>
        <v>8700</v>
      </c>
      <c r="D23">
        <v>22</v>
      </c>
      <c r="E23">
        <f>15300-150*D23</f>
        <v>12000</v>
      </c>
      <c r="F23">
        <f t="shared" si="3"/>
        <v>11850</v>
      </c>
      <c r="G23" s="7">
        <f>(B23*SQRT(20000)+(1-B23)*SQRT(50000))^2</f>
        <v>39909.259404573379</v>
      </c>
      <c r="H23" s="7">
        <f>B23*20000+(1-B23)*50000-G23</f>
        <v>1390.7405954266214</v>
      </c>
      <c r="I23" s="7">
        <f>C23+H23</f>
        <v>10090.740595426621</v>
      </c>
      <c r="J23" s="7">
        <f>17500-333*D23</f>
        <v>10174</v>
      </c>
      <c r="K23" s="7">
        <f>17500-666*D23</f>
        <v>2848</v>
      </c>
      <c r="L23" s="7">
        <f>C23-K23</f>
        <v>5852</v>
      </c>
      <c r="M23" s="7"/>
      <c r="N23" s="7"/>
      <c r="O23" s="7">
        <f t="shared" si="1"/>
        <v>-5324.67</v>
      </c>
      <c r="P23" s="7"/>
      <c r="Q23" s="7"/>
      <c r="R23" s="7"/>
      <c r="S23" s="7"/>
    </row>
    <row r="24" spans="1:19" x14ac:dyDescent="0.2">
      <c r="A24">
        <v>23</v>
      </c>
      <c r="B24">
        <v>0.28000000000000003</v>
      </c>
      <c r="C24">
        <f t="shared" si="0"/>
        <v>8400</v>
      </c>
      <c r="D24">
        <v>23</v>
      </c>
      <c r="E24">
        <f>15300-150*D24</f>
        <v>11850</v>
      </c>
      <c r="F24">
        <f t="shared" si="3"/>
        <v>11700</v>
      </c>
      <c r="G24" s="7">
        <f>(B24*SQRT(20000)+(1-B24)*SQRT(50000))^2</f>
        <v>40238.303525798903</v>
      </c>
      <c r="H24" s="7">
        <f>B24*20000+(1-B24)*50000-G24</f>
        <v>1361.6964742010969</v>
      </c>
      <c r="I24" s="7">
        <f>C24+H24</f>
        <v>9761.6964742010969</v>
      </c>
      <c r="J24" s="7">
        <f>17500-333*D24</f>
        <v>9841</v>
      </c>
      <c r="K24" s="7">
        <f>17500-666*D24</f>
        <v>2182</v>
      </c>
      <c r="L24" s="7">
        <f>C24-K24</f>
        <v>6218</v>
      </c>
      <c r="M24" s="7"/>
      <c r="N24" s="7"/>
      <c r="O24" s="7">
        <f t="shared" si="1"/>
        <v>-5657.67</v>
      </c>
      <c r="P24" s="7"/>
      <c r="Q24" s="7"/>
      <c r="R24" s="7"/>
      <c r="S24" s="7"/>
    </row>
    <row r="25" spans="1:19" x14ac:dyDescent="0.2">
      <c r="A25">
        <v>24</v>
      </c>
      <c r="B25">
        <v>0.27</v>
      </c>
      <c r="C25">
        <f t="shared" si="0"/>
        <v>8100.0000000000009</v>
      </c>
      <c r="D25">
        <v>24</v>
      </c>
      <c r="E25">
        <f>15300-150*D25</f>
        <v>11700</v>
      </c>
      <c r="F25">
        <f t="shared" si="3"/>
        <v>11550</v>
      </c>
      <c r="G25" s="7">
        <f>(B25*SQRT(20000)+(1-B25)*SQRT(50000))^2</f>
        <v>40568.698536383745</v>
      </c>
      <c r="H25" s="7">
        <f>B25*20000+(1-B25)*50000-G25</f>
        <v>1331.3014636162552</v>
      </c>
      <c r="I25" s="7">
        <f>C25+H25</f>
        <v>9431.3014636162552</v>
      </c>
      <c r="J25" s="7">
        <f>17500-333*D25</f>
        <v>9508</v>
      </c>
      <c r="K25" s="7">
        <f>17500-666*D25</f>
        <v>1516</v>
      </c>
      <c r="L25" s="7">
        <f>C25-K25</f>
        <v>6584.0000000000009</v>
      </c>
      <c r="M25" s="7"/>
      <c r="N25" s="7"/>
      <c r="O25" s="7">
        <f t="shared" si="1"/>
        <v>-5990.67</v>
      </c>
      <c r="P25" s="7"/>
      <c r="Q25" s="7"/>
      <c r="R25" s="7"/>
      <c r="S25" s="7"/>
    </row>
    <row r="26" spans="1:19" x14ac:dyDescent="0.2">
      <c r="A26">
        <v>25</v>
      </c>
      <c r="B26">
        <v>0.26</v>
      </c>
      <c r="C26">
        <f t="shared" si="0"/>
        <v>7800</v>
      </c>
      <c r="D26">
        <v>25</v>
      </c>
      <c r="E26">
        <f>15300-150*D26</f>
        <v>11550</v>
      </c>
      <c r="F26">
        <f t="shared" si="3"/>
        <v>11400</v>
      </c>
      <c r="G26" s="7">
        <f>(B26*SQRT(20000)+(1-B26)*SQRT(50000))^2</f>
        <v>40900.444436327933</v>
      </c>
      <c r="H26" s="7">
        <f>B26*20000+(1-B26)*50000-G26</f>
        <v>1299.5555636720674</v>
      </c>
      <c r="I26" s="7">
        <f>C26+H26</f>
        <v>9099.5555636720674</v>
      </c>
      <c r="J26" s="7">
        <f>17500-333*D26</f>
        <v>9175</v>
      </c>
      <c r="K26" s="7">
        <f>17500-666*D26</f>
        <v>850</v>
      </c>
      <c r="L26" s="7">
        <f>C26-K26</f>
        <v>6950</v>
      </c>
      <c r="M26" s="7"/>
      <c r="N26" s="7"/>
      <c r="O26" s="7">
        <f t="shared" si="1"/>
        <v>-6323.67</v>
      </c>
      <c r="P26" s="7"/>
      <c r="Q26" s="7"/>
      <c r="R26" s="7"/>
      <c r="S26" s="7"/>
    </row>
    <row r="27" spans="1:19" x14ac:dyDescent="0.2">
      <c r="A27">
        <v>26</v>
      </c>
      <c r="B27">
        <v>0.25</v>
      </c>
      <c r="C27">
        <f t="shared" si="0"/>
        <v>7500</v>
      </c>
      <c r="D27">
        <v>26</v>
      </c>
      <c r="E27">
        <f>15300-150*D27</f>
        <v>11400</v>
      </c>
      <c r="F27">
        <f t="shared" si="3"/>
        <v>11250</v>
      </c>
      <c r="G27" s="7">
        <f>(B27*SQRT(20000)+(1-B27)*SQRT(50000))^2</f>
        <v>41233.541225631416</v>
      </c>
      <c r="H27" s="7">
        <f>B27*20000+(1-B27)*50000-G27</f>
        <v>1266.4587743685843</v>
      </c>
      <c r="I27" s="7">
        <f>C27+H27</f>
        <v>8766.4587743685843</v>
      </c>
      <c r="J27" s="7">
        <f>17500-333*D27</f>
        <v>8842</v>
      </c>
      <c r="K27" s="7">
        <f>17500-666*D27</f>
        <v>184</v>
      </c>
      <c r="L27" s="7">
        <f>C27-K27</f>
        <v>7316</v>
      </c>
      <c r="M27" s="7"/>
      <c r="N27" s="7"/>
      <c r="O27" s="7">
        <f t="shared" si="1"/>
        <v>-6656.67</v>
      </c>
      <c r="P27" s="7"/>
      <c r="Q27" s="7"/>
      <c r="R27" s="7"/>
      <c r="S27" s="7"/>
    </row>
    <row r="28" spans="1:19" x14ac:dyDescent="0.2">
      <c r="A28">
        <v>27</v>
      </c>
      <c r="B28">
        <v>0.24</v>
      </c>
      <c r="C28">
        <f t="shared" si="0"/>
        <v>7200</v>
      </c>
      <c r="D28">
        <v>27</v>
      </c>
      <c r="E28">
        <f>15300-150*D28</f>
        <v>11250</v>
      </c>
      <c r="F28">
        <f t="shared" si="3"/>
        <v>11100</v>
      </c>
      <c r="G28" s="7">
        <f>(B28*SQRT(20000)+(1-B28)*SQRT(50000))^2</f>
        <v>41567.988904294238</v>
      </c>
      <c r="H28" s="7">
        <f>B28*20000+(1-B28)*50000-G28</f>
        <v>1232.0110957057623</v>
      </c>
      <c r="I28" s="7">
        <f>C28+H28</f>
        <v>8432.0110957057623</v>
      </c>
      <c r="J28" s="7">
        <f>17500-333*D28</f>
        <v>8509</v>
      </c>
      <c r="K28" s="7">
        <f>17500-666*D28</f>
        <v>-482</v>
      </c>
      <c r="L28" s="7">
        <f>C28-K28</f>
        <v>7682</v>
      </c>
      <c r="M28" s="7"/>
      <c r="N28" s="7"/>
      <c r="O28" s="7">
        <f t="shared" si="1"/>
        <v>-6989.67</v>
      </c>
      <c r="P28" s="7"/>
      <c r="Q28" s="7"/>
      <c r="R28" s="7"/>
      <c r="S28" s="7"/>
    </row>
    <row r="29" spans="1:19" x14ac:dyDescent="0.2">
      <c r="A29">
        <v>28</v>
      </c>
      <c r="B29">
        <v>0.23</v>
      </c>
      <c r="C29">
        <f t="shared" si="0"/>
        <v>6900</v>
      </c>
      <c r="D29">
        <v>28</v>
      </c>
      <c r="E29">
        <f>15300-150*D29</f>
        <v>11100</v>
      </c>
      <c r="F29">
        <f t="shared" si="3"/>
        <v>10950</v>
      </c>
      <c r="G29" s="7">
        <f>(B29*SQRT(20000)+(1-B29)*SQRT(50000))^2</f>
        <v>41903.787472316406</v>
      </c>
      <c r="H29" s="7">
        <f>B29*20000+(1-B29)*50000-G29</f>
        <v>1196.2125276835941</v>
      </c>
      <c r="I29" s="7">
        <f>C29+H29</f>
        <v>8096.2125276835941</v>
      </c>
      <c r="J29" s="7">
        <f>17500-333*D29</f>
        <v>8176</v>
      </c>
      <c r="K29" s="7">
        <f>17500-666*D29</f>
        <v>-1148</v>
      </c>
      <c r="L29" s="7">
        <f>C29-K29</f>
        <v>8048</v>
      </c>
      <c r="M29" s="7"/>
      <c r="N29" s="7"/>
      <c r="O29" s="7">
        <f t="shared" si="1"/>
        <v>-7322.67</v>
      </c>
      <c r="P29" s="7"/>
      <c r="Q29" s="7"/>
      <c r="R29" s="7"/>
      <c r="S29" s="7"/>
    </row>
    <row r="30" spans="1:19" x14ac:dyDescent="0.2">
      <c r="A30">
        <v>29</v>
      </c>
      <c r="B30">
        <v>0.22</v>
      </c>
      <c r="C30">
        <f t="shared" si="0"/>
        <v>6600</v>
      </c>
      <c r="D30">
        <v>29</v>
      </c>
      <c r="E30">
        <f>15300-150*D30</f>
        <v>10950</v>
      </c>
      <c r="F30">
        <f t="shared" si="3"/>
        <v>10800</v>
      </c>
      <c r="G30" s="7">
        <f>(B30*SQRT(20000)+(1-B30)*SQRT(50000))^2</f>
        <v>42240.936929697884</v>
      </c>
      <c r="H30" s="7">
        <f>B30*20000+(1-B30)*50000-G30</f>
        <v>1159.0630703021161</v>
      </c>
      <c r="I30" s="7">
        <f>C30+H30</f>
        <v>7759.0630703021161</v>
      </c>
      <c r="J30" s="7">
        <f>17500-333*D30</f>
        <v>7843</v>
      </c>
      <c r="K30" s="7">
        <f>17500-666*D30</f>
        <v>-1814</v>
      </c>
      <c r="L30" s="7">
        <f>C30-K30</f>
        <v>8414</v>
      </c>
      <c r="M30" s="7"/>
      <c r="N30" s="7"/>
      <c r="O30" s="7">
        <f t="shared" si="1"/>
        <v>-7655.67</v>
      </c>
      <c r="P30" s="7"/>
      <c r="Q30" s="7"/>
      <c r="R30" s="7"/>
      <c r="S30" s="7"/>
    </row>
    <row r="31" spans="1:19" x14ac:dyDescent="0.2">
      <c r="A31">
        <v>30</v>
      </c>
      <c r="B31">
        <v>0.21</v>
      </c>
      <c r="C31">
        <f t="shared" si="0"/>
        <v>6300</v>
      </c>
      <c r="D31">
        <v>30</v>
      </c>
      <c r="E31">
        <f>15300-150*D31</f>
        <v>10800</v>
      </c>
      <c r="F31">
        <f t="shared" si="3"/>
        <v>10650</v>
      </c>
      <c r="G31" s="7">
        <f>(B31*SQRT(20000)+(1-B31)*SQRT(50000))^2</f>
        <v>42579.437276438672</v>
      </c>
      <c r="H31" s="7">
        <f>B31*20000+(1-B31)*50000-G31</f>
        <v>1120.5627235613283</v>
      </c>
      <c r="I31" s="7">
        <f>C31+H31</f>
        <v>7420.5627235613283</v>
      </c>
      <c r="J31" s="7">
        <f>17500-333*D31</f>
        <v>7510</v>
      </c>
      <c r="K31" s="7">
        <f>17500-666*D31</f>
        <v>-2480</v>
      </c>
      <c r="L31" s="7">
        <f>C31-K31</f>
        <v>8780</v>
      </c>
      <c r="M31" s="7"/>
      <c r="N31" s="7"/>
      <c r="O31" s="7">
        <f t="shared" si="1"/>
        <v>-7988.67</v>
      </c>
      <c r="P31" s="7"/>
      <c r="Q31" s="7"/>
      <c r="R31" s="7"/>
      <c r="S31" s="7"/>
    </row>
    <row r="32" spans="1:19" x14ac:dyDescent="0.2">
      <c r="A32">
        <v>31</v>
      </c>
      <c r="B32">
        <v>0.2</v>
      </c>
      <c r="C32">
        <f t="shared" si="0"/>
        <v>6000</v>
      </c>
      <c r="D32">
        <v>31</v>
      </c>
      <c r="E32">
        <f>15300-150*D32</f>
        <v>10650</v>
      </c>
      <c r="F32">
        <f t="shared" si="3"/>
        <v>10500</v>
      </c>
      <c r="G32" s="7">
        <f>(B32*SQRT(20000)+(1-B32)*SQRT(50000))^2</f>
        <v>42919.28851253882</v>
      </c>
      <c r="H32" s="7">
        <f>B32*20000+(1-B32)*50000-G32</f>
        <v>1080.7114874611798</v>
      </c>
      <c r="I32" s="7">
        <f>C32+H32</f>
        <v>7080.7114874611798</v>
      </c>
      <c r="J32" s="7">
        <f>17500-333*D32</f>
        <v>7177</v>
      </c>
      <c r="K32" s="7">
        <f>17500-666*D32</f>
        <v>-3146</v>
      </c>
      <c r="L32" s="7">
        <f>C32-K32</f>
        <v>9146</v>
      </c>
      <c r="M32" s="7"/>
      <c r="N32" s="7"/>
      <c r="O32" s="7">
        <f t="shared" si="1"/>
        <v>-8321.67</v>
      </c>
      <c r="P32" s="7"/>
      <c r="Q32" s="7"/>
      <c r="R32" s="7"/>
      <c r="S32" s="7"/>
    </row>
    <row r="33" spans="1:19" x14ac:dyDescent="0.2">
      <c r="A33">
        <v>32</v>
      </c>
      <c r="B33">
        <v>0.19</v>
      </c>
      <c r="C33">
        <f t="shared" si="0"/>
        <v>5700</v>
      </c>
      <c r="D33">
        <v>32</v>
      </c>
      <c r="E33">
        <f>15300-150*D33</f>
        <v>10500</v>
      </c>
      <c r="F33">
        <f t="shared" si="3"/>
        <v>10350</v>
      </c>
      <c r="G33" s="7">
        <f>(B33*SQRT(20000)+(1-B33)*SQRT(50000))^2</f>
        <v>43260.490637998279</v>
      </c>
      <c r="H33" s="7">
        <f>B33*20000+(1-B33)*50000-G33</f>
        <v>1039.5093620017215</v>
      </c>
      <c r="I33" s="7">
        <f>C33+H33</f>
        <v>6739.5093620017215</v>
      </c>
      <c r="J33" s="7">
        <f>17500-333*D33</f>
        <v>6844</v>
      </c>
      <c r="K33" s="7">
        <f>17500-666*D33</f>
        <v>-3812</v>
      </c>
      <c r="L33" s="7">
        <f>C33-K33</f>
        <v>9512</v>
      </c>
      <c r="M33" s="7"/>
      <c r="N33" s="7"/>
      <c r="O33" s="7">
        <f t="shared" si="1"/>
        <v>-8654.67</v>
      </c>
      <c r="P33" s="7"/>
      <c r="Q33" s="7"/>
      <c r="R33" s="7"/>
      <c r="S33" s="7"/>
    </row>
    <row r="34" spans="1:19" x14ac:dyDescent="0.2">
      <c r="A34">
        <v>33</v>
      </c>
      <c r="B34">
        <v>0.18</v>
      </c>
      <c r="C34">
        <f t="shared" si="0"/>
        <v>5400</v>
      </c>
      <c r="D34">
        <v>33</v>
      </c>
      <c r="E34">
        <f>15300-150*D34</f>
        <v>10350</v>
      </c>
      <c r="F34">
        <f t="shared" si="3"/>
        <v>10200</v>
      </c>
      <c r="G34" s="7">
        <f>(B34*SQRT(20000)+(1-B34)*SQRT(50000))^2</f>
        <v>43603.043652817061</v>
      </c>
      <c r="H34" s="7">
        <f>B34*20000+(1-B34)*50000-G34</f>
        <v>996.95634718293877</v>
      </c>
      <c r="I34" s="7">
        <f>C34+H34</f>
        <v>6396.9563471829388</v>
      </c>
      <c r="J34" s="7">
        <f>17500-333*D34</f>
        <v>6511</v>
      </c>
      <c r="K34" s="7">
        <f>17500-666*D34</f>
        <v>-4478</v>
      </c>
      <c r="L34" s="7">
        <f>C34-K34</f>
        <v>9878</v>
      </c>
      <c r="M34" s="7"/>
      <c r="N34" s="7"/>
      <c r="O34" s="7">
        <f t="shared" ref="O34:O51" si="4">J34-$N$3</f>
        <v>-8987.67</v>
      </c>
      <c r="P34" s="7"/>
      <c r="Q34" s="7"/>
      <c r="R34" s="7"/>
      <c r="S34" s="7"/>
    </row>
    <row r="35" spans="1:19" x14ac:dyDescent="0.2">
      <c r="A35">
        <v>34</v>
      </c>
      <c r="B35">
        <v>0.17</v>
      </c>
      <c r="C35">
        <f t="shared" si="0"/>
        <v>5100</v>
      </c>
      <c r="D35">
        <v>34</v>
      </c>
      <c r="E35">
        <f>15300-150*D35</f>
        <v>10200</v>
      </c>
      <c r="F35">
        <f t="shared" si="3"/>
        <v>10050</v>
      </c>
      <c r="G35" s="7">
        <f>(B35*SQRT(20000)+(1-B35)*SQRT(50000))^2</f>
        <v>43946.947556995161</v>
      </c>
      <c r="H35" s="7">
        <f>B35*20000+(1-B35)*50000-G35</f>
        <v>953.05244300483901</v>
      </c>
      <c r="I35" s="7">
        <f>C35+H35</f>
        <v>6053.052443004839</v>
      </c>
      <c r="J35" s="7">
        <f>17500-333*D35</f>
        <v>6178</v>
      </c>
      <c r="K35" s="7">
        <f>17500-666*D35</f>
        <v>-5144</v>
      </c>
      <c r="L35" s="7">
        <f>C35-K35</f>
        <v>10244</v>
      </c>
      <c r="M35" s="7"/>
      <c r="N35" s="7"/>
      <c r="O35" s="7">
        <f t="shared" si="4"/>
        <v>-9320.67</v>
      </c>
      <c r="P35" s="7"/>
      <c r="Q35" s="7"/>
      <c r="R35" s="7"/>
      <c r="S35" s="7"/>
    </row>
    <row r="36" spans="1:19" x14ac:dyDescent="0.2">
      <c r="A36">
        <v>35</v>
      </c>
      <c r="B36">
        <v>0.16</v>
      </c>
      <c r="C36">
        <f t="shared" si="0"/>
        <v>4800</v>
      </c>
      <c r="D36">
        <v>35</v>
      </c>
      <c r="E36">
        <f>15300-150*D36</f>
        <v>10050</v>
      </c>
      <c r="F36">
        <f t="shared" si="3"/>
        <v>9900</v>
      </c>
      <c r="G36" s="7">
        <f>(B36*SQRT(20000)+(1-B36)*SQRT(50000))^2</f>
        <v>44292.202350532607</v>
      </c>
      <c r="H36" s="7">
        <f>B36*20000+(1-B36)*50000-G36</f>
        <v>907.79764946739306</v>
      </c>
      <c r="I36" s="7">
        <f>C36+H36</f>
        <v>5707.7976494673931</v>
      </c>
      <c r="J36" s="7">
        <f>17500-333*D36</f>
        <v>5845</v>
      </c>
      <c r="K36" s="7">
        <f>17500-666*D36</f>
        <v>-5810</v>
      </c>
      <c r="L36" s="7">
        <f>C36-K36</f>
        <v>10610</v>
      </c>
      <c r="M36" s="7"/>
      <c r="N36" s="7"/>
      <c r="O36" s="7">
        <f t="shared" si="4"/>
        <v>-9653.67</v>
      </c>
      <c r="P36" s="7"/>
      <c r="Q36" s="7"/>
      <c r="R36" s="7"/>
      <c r="S36" s="7"/>
    </row>
    <row r="37" spans="1:19" x14ac:dyDescent="0.2">
      <c r="A37">
        <v>36</v>
      </c>
      <c r="B37">
        <v>0.15</v>
      </c>
      <c r="C37">
        <f t="shared" si="0"/>
        <v>4500</v>
      </c>
      <c r="D37">
        <v>36</v>
      </c>
      <c r="E37">
        <f>15300-150*D37</f>
        <v>9900</v>
      </c>
      <c r="F37">
        <f t="shared" si="3"/>
        <v>9750</v>
      </c>
      <c r="G37" s="7">
        <f>(B37*SQRT(20000)+(1-B37)*SQRT(50000))^2</f>
        <v>44638.80803342937</v>
      </c>
      <c r="H37" s="7">
        <f>B37*20000+(1-B37)*50000-G37</f>
        <v>861.19196657063003</v>
      </c>
      <c r="I37" s="7">
        <f>C37+H37</f>
        <v>5361.19196657063</v>
      </c>
      <c r="J37" s="7">
        <f>17500-333*D37</f>
        <v>5512</v>
      </c>
      <c r="K37" s="7">
        <f>17500-666*D37</f>
        <v>-6476</v>
      </c>
      <c r="L37" s="7">
        <f>C37-K37</f>
        <v>10976</v>
      </c>
      <c r="M37" s="7"/>
      <c r="N37" s="7"/>
      <c r="O37" s="7">
        <f t="shared" si="4"/>
        <v>-9986.67</v>
      </c>
      <c r="P37" s="7"/>
      <c r="Q37" s="7"/>
      <c r="R37" s="7"/>
      <c r="S37" s="7"/>
    </row>
    <row r="38" spans="1:19" x14ac:dyDescent="0.2">
      <c r="A38">
        <v>37</v>
      </c>
      <c r="B38">
        <v>0.14000000000000001</v>
      </c>
      <c r="C38">
        <f t="shared" si="0"/>
        <v>4200</v>
      </c>
      <c r="D38">
        <v>37</v>
      </c>
      <c r="E38">
        <f>15300-150*D38</f>
        <v>9750</v>
      </c>
      <c r="F38">
        <f t="shared" si="3"/>
        <v>9600</v>
      </c>
      <c r="G38" s="7">
        <f>(B38*SQRT(20000)+(1-B38)*SQRT(50000))^2</f>
        <v>44986.764605685457</v>
      </c>
      <c r="H38" s="7">
        <f>B38*20000+(1-B38)*50000-G38</f>
        <v>813.23539431454265</v>
      </c>
      <c r="I38" s="7">
        <f>C38+H38</f>
        <v>5013.2353943145426</v>
      </c>
      <c r="J38" s="7">
        <f>17500-333*D38</f>
        <v>5179</v>
      </c>
      <c r="K38" s="7">
        <f>17500-666*D38</f>
        <v>-7142</v>
      </c>
      <c r="L38" s="7">
        <f>C38-K38</f>
        <v>11342</v>
      </c>
      <c r="M38" s="7"/>
      <c r="N38" s="7"/>
      <c r="O38" s="7">
        <f t="shared" si="4"/>
        <v>-10319.67</v>
      </c>
      <c r="P38" s="7"/>
      <c r="Q38" s="7"/>
      <c r="R38" s="7"/>
      <c r="S38" s="7"/>
    </row>
    <row r="39" spans="1:19" x14ac:dyDescent="0.2">
      <c r="A39">
        <v>38</v>
      </c>
      <c r="B39">
        <v>0.13</v>
      </c>
      <c r="C39">
        <f t="shared" si="0"/>
        <v>3900</v>
      </c>
      <c r="D39">
        <v>38</v>
      </c>
      <c r="E39">
        <f>15300-150*D39</f>
        <v>9600</v>
      </c>
      <c r="F39">
        <f t="shared" si="3"/>
        <v>9450</v>
      </c>
      <c r="G39" s="7">
        <f>(B39*SQRT(20000)+(1-B39)*SQRT(50000))^2</f>
        <v>45336.072067300876</v>
      </c>
      <c r="H39" s="7">
        <f>B39*20000+(1-B39)*50000-G39</f>
        <v>763.92793269912363</v>
      </c>
      <c r="I39" s="7">
        <f>C39+H39</f>
        <v>4663.9279326991236</v>
      </c>
      <c r="J39" s="7">
        <f>17500-333*D39</f>
        <v>4846</v>
      </c>
      <c r="K39" s="7">
        <f>17500-666*D39</f>
        <v>-7808</v>
      </c>
      <c r="L39" s="7">
        <f>C39-K39</f>
        <v>11708</v>
      </c>
      <c r="M39" s="7"/>
      <c r="N39" s="7"/>
      <c r="O39" s="7">
        <f t="shared" si="4"/>
        <v>-10652.67</v>
      </c>
      <c r="P39" s="7"/>
      <c r="Q39" s="7"/>
      <c r="R39" s="7"/>
      <c r="S39" s="7"/>
    </row>
    <row r="40" spans="1:19" x14ac:dyDescent="0.2">
      <c r="A40">
        <v>39</v>
      </c>
      <c r="B40">
        <v>0.12</v>
      </c>
      <c r="C40">
        <f t="shared" si="0"/>
        <v>3600</v>
      </c>
      <c r="D40">
        <v>39</v>
      </c>
      <c r="E40">
        <f>15300-150*D40</f>
        <v>9450</v>
      </c>
      <c r="F40">
        <f t="shared" si="3"/>
        <v>9300</v>
      </c>
      <c r="G40" s="7">
        <f>(B40*SQRT(20000)+(1-B40)*SQRT(50000))^2</f>
        <v>45686.73041827562</v>
      </c>
      <c r="H40" s="7">
        <f>B40*20000+(1-B40)*50000-G40</f>
        <v>713.26958172438026</v>
      </c>
      <c r="I40" s="7">
        <f>C40+H40</f>
        <v>4313.2695817243803</v>
      </c>
      <c r="J40" s="7">
        <f>17500-333*D40</f>
        <v>4513</v>
      </c>
      <c r="K40" s="7">
        <f>17500-666*D40</f>
        <v>-8474</v>
      </c>
      <c r="L40" s="7">
        <f>C40-K40</f>
        <v>12074</v>
      </c>
      <c r="M40" s="7"/>
      <c r="N40" s="7"/>
      <c r="O40" s="7">
        <f t="shared" si="4"/>
        <v>-10985.67</v>
      </c>
      <c r="P40" s="7"/>
      <c r="Q40" s="7"/>
      <c r="R40" s="7"/>
      <c r="S40" s="7"/>
    </row>
    <row r="41" spans="1:19" x14ac:dyDescent="0.2">
      <c r="A41">
        <v>40</v>
      </c>
      <c r="B41">
        <v>0.11</v>
      </c>
      <c r="C41">
        <f t="shared" si="0"/>
        <v>3300</v>
      </c>
      <c r="D41">
        <v>40</v>
      </c>
      <c r="E41">
        <f>15300-150*D41</f>
        <v>9300</v>
      </c>
      <c r="F41">
        <f t="shared" si="3"/>
        <v>9150</v>
      </c>
      <c r="G41" s="7">
        <f>(B41*SQRT(20000)+(1-B41)*SQRT(50000))^2</f>
        <v>46038.739658609687</v>
      </c>
      <c r="H41" s="7">
        <f>B41*20000+(1-B41)*50000-G41</f>
        <v>661.26034139031253</v>
      </c>
      <c r="I41" s="7">
        <f>C41+H41</f>
        <v>3961.2603413903125</v>
      </c>
      <c r="J41" s="7">
        <f>17500-333*D41</f>
        <v>4180</v>
      </c>
      <c r="K41" s="7">
        <f>17500-666*D41</f>
        <v>-9140</v>
      </c>
      <c r="L41" s="7">
        <f>C41-K41</f>
        <v>12440</v>
      </c>
      <c r="M41" s="7"/>
      <c r="N41" s="7"/>
      <c r="O41" s="7">
        <f t="shared" si="4"/>
        <v>-11318.67</v>
      </c>
      <c r="P41" s="7"/>
      <c r="Q41" s="7"/>
      <c r="R41" s="7"/>
      <c r="S41" s="7"/>
    </row>
    <row r="42" spans="1:19" x14ac:dyDescent="0.2">
      <c r="A42">
        <v>41</v>
      </c>
      <c r="B42">
        <v>0.1</v>
      </c>
      <c r="C42">
        <f t="shared" si="0"/>
        <v>3000</v>
      </c>
      <c r="D42">
        <v>41</v>
      </c>
      <c r="E42">
        <f>15300-150*D42</f>
        <v>9150</v>
      </c>
      <c r="F42">
        <f t="shared" si="3"/>
        <v>9000</v>
      </c>
      <c r="G42" s="7">
        <f>(B42*SQRT(20000)+(1-B42)*SQRT(50000))^2</f>
        <v>46392.099788303087</v>
      </c>
      <c r="H42" s="7">
        <f>B42*20000+(1-B42)*50000-G42</f>
        <v>607.90021169691317</v>
      </c>
      <c r="I42" s="7">
        <f>C42+H42</f>
        <v>3607.9002116969132</v>
      </c>
      <c r="J42" s="7">
        <f>17500-333*D42</f>
        <v>3847</v>
      </c>
      <c r="K42" s="7">
        <f>17500-666*D42</f>
        <v>-9806</v>
      </c>
      <c r="L42" s="7">
        <f>C42-K42</f>
        <v>12806</v>
      </c>
      <c r="M42" s="7"/>
      <c r="N42" s="7"/>
      <c r="O42" s="7">
        <f t="shared" si="4"/>
        <v>-11651.67</v>
      </c>
      <c r="P42" s="7"/>
      <c r="Q42" s="7"/>
      <c r="R42" s="7"/>
      <c r="S42" s="7"/>
    </row>
    <row r="43" spans="1:19" x14ac:dyDescent="0.2">
      <c r="A43">
        <v>42</v>
      </c>
      <c r="B43">
        <v>0.09</v>
      </c>
      <c r="C43">
        <f t="shared" si="0"/>
        <v>2700</v>
      </c>
      <c r="D43">
        <v>42</v>
      </c>
      <c r="E43">
        <f>15300-150*D43</f>
        <v>9000</v>
      </c>
      <c r="F43">
        <f t="shared" si="3"/>
        <v>8850</v>
      </c>
      <c r="G43" s="7">
        <f>(B43*SQRT(20000)+(1-B43)*SQRT(50000))^2</f>
        <v>46746.810807355803</v>
      </c>
      <c r="H43" s="7">
        <f>B43*20000+(1-B43)*50000-G43</f>
        <v>553.18919264419674</v>
      </c>
      <c r="I43" s="7">
        <f>C43+H43</f>
        <v>3253.1891926441967</v>
      </c>
      <c r="J43" s="7">
        <f>17500-333*D43</f>
        <v>3514</v>
      </c>
      <c r="K43" s="7">
        <f>17500-666*D43</f>
        <v>-10472</v>
      </c>
      <c r="L43" s="7">
        <f>C43-K43</f>
        <v>13172</v>
      </c>
      <c r="M43" s="7"/>
      <c r="N43" s="7"/>
      <c r="O43" s="7">
        <f t="shared" si="4"/>
        <v>-11984.67</v>
      </c>
      <c r="P43" s="7"/>
      <c r="Q43" s="7"/>
      <c r="R43" s="7"/>
      <c r="S43" s="7"/>
    </row>
    <row r="44" spans="1:19" x14ac:dyDescent="0.2">
      <c r="A44">
        <v>43</v>
      </c>
      <c r="B44">
        <v>0.08</v>
      </c>
      <c r="C44">
        <f t="shared" si="0"/>
        <v>2400</v>
      </c>
      <c r="D44">
        <v>43</v>
      </c>
      <c r="E44">
        <f>15300-150*D44</f>
        <v>8850</v>
      </c>
      <c r="F44">
        <f t="shared" si="3"/>
        <v>8700</v>
      </c>
      <c r="G44" s="7">
        <f>(B44*SQRT(20000)+(1-B44)*SQRT(50000))^2</f>
        <v>47102.872715767859</v>
      </c>
      <c r="H44" s="7">
        <f>B44*20000+(1-B44)*50000-G44</f>
        <v>497.12728423214139</v>
      </c>
      <c r="I44" s="7">
        <f>C44+H44</f>
        <v>2897.1272842321414</v>
      </c>
      <c r="J44" s="7">
        <f>17500-333*D44</f>
        <v>3181</v>
      </c>
      <c r="K44" s="7">
        <f>17500-666*D44</f>
        <v>-11138</v>
      </c>
      <c r="L44" s="7">
        <f>C44-K44</f>
        <v>13538</v>
      </c>
      <c r="M44" s="7"/>
      <c r="N44" s="7"/>
      <c r="O44" s="7">
        <f t="shared" si="4"/>
        <v>-12317.67</v>
      </c>
      <c r="P44" s="7"/>
      <c r="Q44" s="7"/>
      <c r="R44" s="7"/>
      <c r="S44" s="7"/>
    </row>
    <row r="45" spans="1:19" x14ac:dyDescent="0.2">
      <c r="A45">
        <v>44</v>
      </c>
      <c r="B45">
        <v>7.0000000000000007E-2</v>
      </c>
      <c r="C45">
        <f t="shared" si="0"/>
        <v>2100</v>
      </c>
      <c r="D45">
        <v>44</v>
      </c>
      <c r="E45">
        <f>15300-150*D45</f>
        <v>8700</v>
      </c>
      <c r="F45">
        <f t="shared" si="3"/>
        <v>8550</v>
      </c>
      <c r="G45" s="7">
        <f>(B45*SQRT(20000)+(1-B45)*SQRT(50000))^2</f>
        <v>47460.285513539216</v>
      </c>
      <c r="H45" s="7">
        <f>B45*20000+(1-B45)*50000-G45</f>
        <v>439.71448646078352</v>
      </c>
      <c r="I45" s="7">
        <f>C45+H45</f>
        <v>2539.7144864607835</v>
      </c>
      <c r="J45" s="7">
        <f>17500-333*D45</f>
        <v>2848</v>
      </c>
      <c r="K45" s="7">
        <f>17500-666*D45</f>
        <v>-11804</v>
      </c>
      <c r="L45" s="7">
        <f>C45-K45</f>
        <v>13904</v>
      </c>
      <c r="M45" s="7"/>
      <c r="N45" s="7"/>
      <c r="O45" s="7">
        <f t="shared" si="4"/>
        <v>-12650.67</v>
      </c>
      <c r="P45" s="7"/>
      <c r="Q45" s="7"/>
      <c r="R45" s="7"/>
      <c r="S45" s="7"/>
    </row>
    <row r="46" spans="1:19" x14ac:dyDescent="0.2">
      <c r="A46">
        <v>45</v>
      </c>
      <c r="B46">
        <v>0.06</v>
      </c>
      <c r="C46">
        <f t="shared" si="0"/>
        <v>1800</v>
      </c>
      <c r="D46">
        <v>45</v>
      </c>
      <c r="E46">
        <f>15300-150*D46</f>
        <v>8550</v>
      </c>
      <c r="F46">
        <f t="shared" si="3"/>
        <v>8400</v>
      </c>
      <c r="G46" s="7">
        <f>(B46*SQRT(20000)+(1-B46)*SQRT(50000))^2</f>
        <v>47819.049200669935</v>
      </c>
      <c r="H46" s="7">
        <f>B46*20000+(1-B46)*50000-G46</f>
        <v>380.95079933006491</v>
      </c>
      <c r="I46" s="7">
        <f>C46+H46</f>
        <v>2180.9507993300649</v>
      </c>
      <c r="J46" s="7">
        <f>17500-333*D46</f>
        <v>2515</v>
      </c>
      <c r="K46" s="7">
        <f>17500-666*D46</f>
        <v>-12470</v>
      </c>
      <c r="L46" s="7">
        <f>C46-K46</f>
        <v>14270</v>
      </c>
      <c r="M46" s="7"/>
      <c r="N46" s="7"/>
      <c r="O46" s="7">
        <f t="shared" si="4"/>
        <v>-12983.67</v>
      </c>
      <c r="P46" s="7"/>
      <c r="Q46" s="7"/>
      <c r="R46" s="7"/>
      <c r="S46" s="7"/>
    </row>
    <row r="47" spans="1:19" x14ac:dyDescent="0.2">
      <c r="A47">
        <v>46</v>
      </c>
      <c r="B47">
        <v>0.05</v>
      </c>
      <c r="C47">
        <f t="shared" si="0"/>
        <v>1500</v>
      </c>
      <c r="D47">
        <v>46</v>
      </c>
      <c r="E47">
        <f>15300-150*D47</f>
        <v>8400</v>
      </c>
      <c r="F47">
        <f t="shared" si="3"/>
        <v>8250</v>
      </c>
      <c r="G47" s="7">
        <f>(B47*SQRT(20000)+(1-B47)*SQRT(50000))^2</f>
        <v>48179.163777159964</v>
      </c>
      <c r="H47" s="7">
        <f>B47*20000+(1-B47)*50000-G47</f>
        <v>320.8362228400365</v>
      </c>
      <c r="I47" s="7">
        <f>C47+H47</f>
        <v>1820.8362228400365</v>
      </c>
      <c r="J47" s="7">
        <f>17500-333*D47</f>
        <v>2182</v>
      </c>
      <c r="K47" s="7">
        <f>17500-666*D47</f>
        <v>-13136</v>
      </c>
      <c r="L47" s="7">
        <f>C47-K47</f>
        <v>14636</v>
      </c>
      <c r="M47" s="7"/>
      <c r="N47" s="7"/>
      <c r="O47" s="7">
        <f t="shared" si="4"/>
        <v>-13316.67</v>
      </c>
      <c r="P47" s="7"/>
      <c r="Q47" s="7"/>
      <c r="R47" s="7"/>
      <c r="S47" s="7"/>
    </row>
    <row r="48" spans="1:19" x14ac:dyDescent="0.2">
      <c r="A48">
        <v>47</v>
      </c>
      <c r="B48">
        <v>0.04</v>
      </c>
      <c r="C48">
        <f t="shared" si="0"/>
        <v>1200</v>
      </c>
      <c r="D48">
        <v>47</v>
      </c>
      <c r="E48">
        <f>15300-150*D48</f>
        <v>8250</v>
      </c>
      <c r="F48">
        <f t="shared" si="3"/>
        <v>8100</v>
      </c>
      <c r="G48" s="7">
        <f>(B48*SQRT(20000)+(1-B48)*SQRT(50000))^2</f>
        <v>48540.629243009302</v>
      </c>
      <c r="H48" s="7">
        <f>B48*20000+(1-B48)*50000-G48</f>
        <v>259.37075699069828</v>
      </c>
      <c r="I48" s="7">
        <f>C48+H48</f>
        <v>1459.3707569906983</v>
      </c>
      <c r="J48" s="7">
        <f>17500-333*D48</f>
        <v>1849</v>
      </c>
      <c r="K48" s="7">
        <f>17500-666*D48</f>
        <v>-13802</v>
      </c>
      <c r="L48" s="7">
        <f>C48-K48</f>
        <v>15002</v>
      </c>
      <c r="M48" s="7"/>
      <c r="N48" s="7"/>
      <c r="O48" s="7">
        <f t="shared" si="4"/>
        <v>-13649.67</v>
      </c>
      <c r="P48" s="7"/>
      <c r="Q48" s="7"/>
      <c r="R48" s="7"/>
      <c r="S48" s="7"/>
    </row>
    <row r="49" spans="1:19" x14ac:dyDescent="0.2">
      <c r="A49">
        <v>48</v>
      </c>
      <c r="B49">
        <v>0.03</v>
      </c>
      <c r="C49">
        <f t="shared" si="0"/>
        <v>900</v>
      </c>
      <c r="D49">
        <v>48</v>
      </c>
      <c r="E49">
        <f>15300-150*D49</f>
        <v>8100</v>
      </c>
      <c r="F49">
        <f t="shared" si="3"/>
        <v>7950</v>
      </c>
      <c r="G49" s="7">
        <f>(B49*SQRT(20000)+(1-B49)*SQRT(50000))^2</f>
        <v>48903.445598217993</v>
      </c>
      <c r="H49" s="7">
        <f>B49*20000+(1-B49)*50000-G49</f>
        <v>196.55440178200661</v>
      </c>
      <c r="I49" s="7">
        <f>C49+H49</f>
        <v>1096.5544017820066</v>
      </c>
      <c r="J49" s="7">
        <f>17500-333*D49</f>
        <v>1516</v>
      </c>
      <c r="K49" s="7">
        <f>17500-666*D49</f>
        <v>-14468</v>
      </c>
      <c r="L49" s="7">
        <f>C49-K49</f>
        <v>15368</v>
      </c>
      <c r="M49" s="7"/>
      <c r="N49" s="7"/>
      <c r="O49" s="7">
        <f t="shared" si="4"/>
        <v>-13982.67</v>
      </c>
      <c r="P49" s="7"/>
      <c r="Q49" s="7"/>
      <c r="R49" s="7"/>
      <c r="S49" s="7"/>
    </row>
    <row r="50" spans="1:19" x14ac:dyDescent="0.2">
      <c r="A50">
        <v>49</v>
      </c>
      <c r="B50">
        <v>0.02</v>
      </c>
      <c r="C50">
        <f t="shared" si="0"/>
        <v>600</v>
      </c>
      <c r="D50">
        <v>49</v>
      </c>
      <c r="E50">
        <f>15300-150*D50</f>
        <v>7950</v>
      </c>
      <c r="F50">
        <f t="shared" si="3"/>
        <v>7800</v>
      </c>
      <c r="G50" s="7">
        <f>(B50*SQRT(20000)+(1-B50)*SQRT(50000))^2</f>
        <v>49267.612842786002</v>
      </c>
      <c r="H50" s="7">
        <f>B50*20000+(1-B50)*50000-G50</f>
        <v>132.38715721399785</v>
      </c>
      <c r="I50" s="7">
        <f>C50+H50</f>
        <v>732.38715721399785</v>
      </c>
      <c r="J50" s="7">
        <f>17500-333*D50</f>
        <v>1183</v>
      </c>
      <c r="K50" s="7">
        <f>17500-666*D50</f>
        <v>-15134</v>
      </c>
      <c r="L50" s="7">
        <f>C50-K50</f>
        <v>15734</v>
      </c>
      <c r="M50" s="7"/>
      <c r="N50" s="7"/>
      <c r="O50" s="7">
        <f t="shared" si="4"/>
        <v>-14315.67</v>
      </c>
      <c r="P50" s="7"/>
      <c r="Q50" s="7"/>
      <c r="R50" s="7"/>
      <c r="S50" s="7"/>
    </row>
    <row r="51" spans="1:19" x14ac:dyDescent="0.2">
      <c r="A51">
        <v>50</v>
      </c>
      <c r="B51">
        <v>0.01</v>
      </c>
      <c r="C51">
        <f t="shared" si="0"/>
        <v>300</v>
      </c>
      <c r="D51">
        <v>50</v>
      </c>
      <c r="E51">
        <f>15300-150*D51</f>
        <v>7800</v>
      </c>
      <c r="F51">
        <f t="shared" si="3"/>
        <v>7650</v>
      </c>
      <c r="G51" s="7">
        <f>(B51*SQRT(20000)+(1-B51)*SQRT(50000))^2</f>
        <v>49633.130976713335</v>
      </c>
      <c r="H51" s="7">
        <f>B51*20000+(1-B51)*50000-G51</f>
        <v>66.869023286664742</v>
      </c>
      <c r="I51" s="7">
        <f>C51+H51</f>
        <v>366.86902328666474</v>
      </c>
      <c r="J51" s="7">
        <f>17500-333*D51</f>
        <v>850</v>
      </c>
      <c r="K51" s="7">
        <f>17500-666*D51</f>
        <v>-15800</v>
      </c>
      <c r="L51" s="7">
        <f>C51-K51</f>
        <v>16100</v>
      </c>
      <c r="M51" s="7"/>
      <c r="N51" s="7"/>
      <c r="O51" s="7">
        <f t="shared" si="4"/>
        <v>-14648.67</v>
      </c>
      <c r="P51" s="7"/>
      <c r="Q51" s="7"/>
      <c r="R51" s="7"/>
      <c r="S51" s="7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FEEE1-C617-4574-A465-426C32453520}">
  <dimension ref="A1:Q51"/>
  <sheetViews>
    <sheetView zoomScale="115" zoomScaleNormal="115" workbookViewId="0">
      <selection activeCell="V5" sqref="V5"/>
    </sheetView>
  </sheetViews>
  <sheetFormatPr baseColWidth="10" defaultColWidth="8.83203125" defaultRowHeight="15" x14ac:dyDescent="0.2"/>
  <cols>
    <col min="1" max="1" width="11.5" bestFit="1" customWidth="1"/>
    <col min="2" max="2" width="5.33203125" bestFit="1" customWidth="1"/>
    <col min="3" max="3" width="16.6640625" bestFit="1" customWidth="1"/>
    <col min="4" max="4" width="3.33203125" bestFit="1" customWidth="1"/>
    <col min="5" max="5" width="13.1640625" bestFit="1" customWidth="1"/>
    <col min="6" max="6" width="7.83203125" bestFit="1" customWidth="1"/>
    <col min="7" max="7" width="6.83203125" bestFit="1" customWidth="1"/>
    <col min="8" max="8" width="7.83203125" bestFit="1" customWidth="1"/>
    <col min="9" max="9" width="33.6640625" bestFit="1" customWidth="1"/>
    <col min="10" max="10" width="14" customWidth="1"/>
    <col min="11" max="11" width="18.5" bestFit="1" customWidth="1"/>
    <col min="12" max="12" width="8.5" bestFit="1" customWidth="1"/>
    <col min="13" max="13" width="21.1640625" bestFit="1" customWidth="1"/>
    <col min="14" max="14" width="25.6640625" bestFit="1" customWidth="1"/>
    <col min="15" max="15" width="17.6640625" bestFit="1" customWidth="1"/>
    <col min="16" max="16" width="2.83203125" bestFit="1" customWidth="1"/>
    <col min="17" max="17" width="10.1640625" bestFit="1" customWidth="1"/>
  </cols>
  <sheetData>
    <row r="1" spans="1:17" x14ac:dyDescent="0.2">
      <c r="A1" s="2" t="s">
        <v>13</v>
      </c>
      <c r="B1" s="2" t="s">
        <v>0</v>
      </c>
      <c r="C1" s="2" t="s">
        <v>9</v>
      </c>
      <c r="D1" s="2" t="s">
        <v>1</v>
      </c>
      <c r="E1" s="2" t="s">
        <v>24</v>
      </c>
      <c r="F1" s="2" t="s">
        <v>2</v>
      </c>
      <c r="G1" s="2" t="s">
        <v>8</v>
      </c>
      <c r="H1" s="2" t="s">
        <v>3</v>
      </c>
      <c r="I1" s="2" t="s">
        <v>15</v>
      </c>
      <c r="J1" s="2" t="s">
        <v>22</v>
      </c>
      <c r="K1" s="2" t="s">
        <v>23</v>
      </c>
      <c r="L1" s="3" t="s">
        <v>7</v>
      </c>
      <c r="M1" s="3" t="s">
        <v>18</v>
      </c>
      <c r="N1" s="3" t="s">
        <v>19</v>
      </c>
      <c r="O1" s="3" t="s">
        <v>4</v>
      </c>
      <c r="Q1" s="3" t="s">
        <v>12</v>
      </c>
    </row>
    <row r="2" spans="1:17" x14ac:dyDescent="0.2">
      <c r="A2">
        <v>1</v>
      </c>
      <c r="B2">
        <v>0.5</v>
      </c>
      <c r="C2">
        <f>B2*30000</f>
        <v>15000</v>
      </c>
      <c r="D2">
        <v>1</v>
      </c>
      <c r="E2">
        <f>15300-150*D2</f>
        <v>15150</v>
      </c>
      <c r="F2" s="7">
        <f>(B2*SQRT(20000)+(1-B2)*SQRT(50000))^2</f>
        <v>33311.3883008419</v>
      </c>
      <c r="G2" s="7">
        <f>B2*20000+(1-B2)*50000-F2</f>
        <v>1688.6116991581002</v>
      </c>
      <c r="H2" s="7">
        <f>C2+G2</f>
        <v>16688.6116991581</v>
      </c>
      <c r="I2" s="7">
        <f>17500-333*D2</f>
        <v>17167</v>
      </c>
      <c r="J2" s="7">
        <f>17500-666*D2</f>
        <v>16834</v>
      </c>
      <c r="K2" s="8">
        <f>C2-J2</f>
        <v>-1834</v>
      </c>
      <c r="L2" s="1">
        <v>8000</v>
      </c>
      <c r="M2" s="13">
        <f>I2-L2</f>
        <v>9167</v>
      </c>
      <c r="N2" s="13">
        <f>SUM(M2:M51)</f>
        <v>50425</v>
      </c>
      <c r="O2" s="1">
        <f>L2-C2</f>
        <v>-7000</v>
      </c>
      <c r="Q2" s="1">
        <f>SUM(O2:O51)</f>
        <v>17500</v>
      </c>
    </row>
    <row r="3" spans="1:17" x14ac:dyDescent="0.2">
      <c r="A3">
        <v>2</v>
      </c>
      <c r="B3">
        <v>0.49</v>
      </c>
      <c r="C3">
        <f t="shared" ref="C3:C51" si="0">B3*30000</f>
        <v>14700</v>
      </c>
      <c r="D3">
        <v>2</v>
      </c>
      <c r="E3">
        <f>15300-150*D3</f>
        <v>15000</v>
      </c>
      <c r="F3" s="7">
        <f>(B3*SQRT(20000)+(1-B3)*SQRT(50000))^2</f>
        <v>33612.063745521562</v>
      </c>
      <c r="G3" s="7">
        <f>B3*20000+(1-B3)*50000-F3</f>
        <v>1687.9362544784381</v>
      </c>
      <c r="H3" s="7">
        <f>C3+G3</f>
        <v>16387.936254478438</v>
      </c>
      <c r="I3" s="7">
        <f>17500-333*D3</f>
        <v>16834</v>
      </c>
      <c r="J3" s="7">
        <f>17500-666*D3</f>
        <v>16168</v>
      </c>
      <c r="K3" s="8">
        <f>C3-J3</f>
        <v>-1468</v>
      </c>
      <c r="L3" s="1">
        <v>8000</v>
      </c>
      <c r="M3" s="13">
        <f>I3-L3</f>
        <v>8834</v>
      </c>
      <c r="N3" s="1"/>
      <c r="O3" s="1">
        <f>L3-C3</f>
        <v>-6700</v>
      </c>
      <c r="P3" s="21"/>
      <c r="Q3" s="20"/>
    </row>
    <row r="4" spans="1:17" x14ac:dyDescent="0.2">
      <c r="A4">
        <v>3</v>
      </c>
      <c r="B4">
        <v>0.48</v>
      </c>
      <c r="C4">
        <f t="shared" si="0"/>
        <v>14400</v>
      </c>
      <c r="D4">
        <v>3</v>
      </c>
      <c r="E4">
        <f>15300-150*D4</f>
        <v>14850</v>
      </c>
      <c r="F4" s="7">
        <f>(B4*SQRT(20000)+(1-B4)*SQRT(50000))^2</f>
        <v>33914.090079560548</v>
      </c>
      <c r="G4" s="7">
        <f>B4*20000+(1-B4)*50000-F4</f>
        <v>1685.9099204394515</v>
      </c>
      <c r="H4" s="7">
        <f>C4+G4</f>
        <v>16085.909920439452</v>
      </c>
      <c r="I4" s="7">
        <f>17500-333*D4</f>
        <v>16501</v>
      </c>
      <c r="J4" s="7">
        <f>17500-666*D4</f>
        <v>15502</v>
      </c>
      <c r="K4" s="8">
        <f>C4-J4</f>
        <v>-1102</v>
      </c>
      <c r="L4" s="1">
        <v>8000</v>
      </c>
      <c r="M4" s="13">
        <f>I4-L4</f>
        <v>8501</v>
      </c>
      <c r="N4" s="1"/>
      <c r="O4" s="1">
        <f>L4-C4</f>
        <v>-6400</v>
      </c>
      <c r="P4" s="21"/>
      <c r="Q4" s="20"/>
    </row>
    <row r="5" spans="1:17" x14ac:dyDescent="0.2">
      <c r="A5">
        <v>4</v>
      </c>
      <c r="B5">
        <v>0.47</v>
      </c>
      <c r="C5">
        <f t="shared" si="0"/>
        <v>14100</v>
      </c>
      <c r="D5">
        <v>4</v>
      </c>
      <c r="E5">
        <f>15300-150*D5</f>
        <v>14700</v>
      </c>
      <c r="F5" s="7">
        <f>(B5*SQRT(20000)+(1-B5)*SQRT(50000))^2</f>
        <v>34217.467302958867</v>
      </c>
      <c r="G5" s="7">
        <f>B5*20000+(1-B5)*50000-F5</f>
        <v>1682.5326970411334</v>
      </c>
      <c r="H5" s="7">
        <f>C5+G5</f>
        <v>15782.532697041133</v>
      </c>
      <c r="I5" s="7">
        <f>17500-333*D5</f>
        <v>16168</v>
      </c>
      <c r="J5" s="7">
        <f>17500-666*D5</f>
        <v>14836</v>
      </c>
      <c r="K5" s="8">
        <f>C5-J5</f>
        <v>-736</v>
      </c>
      <c r="L5" s="1">
        <v>8000</v>
      </c>
      <c r="M5" s="13">
        <f>I5-L5</f>
        <v>8168</v>
      </c>
      <c r="N5" s="1"/>
      <c r="O5" s="1">
        <f>L5-C5</f>
        <v>-6100</v>
      </c>
      <c r="P5" s="1"/>
    </row>
    <row r="6" spans="1:17" ht="16" thickBot="1" x14ac:dyDescent="0.25">
      <c r="A6">
        <v>5</v>
      </c>
      <c r="B6">
        <v>0.46</v>
      </c>
      <c r="C6">
        <f t="shared" si="0"/>
        <v>13800</v>
      </c>
      <c r="D6">
        <v>5</v>
      </c>
      <c r="E6">
        <f>15300-150*D6</f>
        <v>14550</v>
      </c>
      <c r="F6" s="7">
        <f>(B6*SQRT(20000)+(1-B6)*SQRT(50000))^2</f>
        <v>34522.195415716516</v>
      </c>
      <c r="G6" s="7">
        <f>B6*20000+(1-B6)*50000-F6</f>
        <v>1677.8045842834836</v>
      </c>
      <c r="H6" s="7">
        <f>C6+G6</f>
        <v>15477.804584283484</v>
      </c>
      <c r="I6" s="7">
        <f>17500-333*D6</f>
        <v>15835</v>
      </c>
      <c r="J6" s="7">
        <f>17500-666*D6</f>
        <v>14170</v>
      </c>
      <c r="K6" s="8">
        <f>C6-J6</f>
        <v>-370</v>
      </c>
      <c r="L6" s="1">
        <v>8000</v>
      </c>
      <c r="M6" s="13">
        <f>I6-L6</f>
        <v>7835</v>
      </c>
      <c r="N6" s="1"/>
      <c r="O6" s="1">
        <f>L6-C6</f>
        <v>-5800</v>
      </c>
      <c r="P6" s="1"/>
    </row>
    <row r="7" spans="1:17" ht="16" thickBot="1" x14ac:dyDescent="0.25">
      <c r="A7">
        <v>6</v>
      </c>
      <c r="B7">
        <v>0.45</v>
      </c>
      <c r="C7">
        <f t="shared" si="0"/>
        <v>13500</v>
      </c>
      <c r="D7">
        <v>6</v>
      </c>
      <c r="E7">
        <f>15300-150*D7</f>
        <v>14400</v>
      </c>
      <c r="F7" s="7">
        <f>(B7*SQRT(20000)+(1-B7)*SQRT(50000))^2</f>
        <v>34828.274417833476</v>
      </c>
      <c r="G7" s="7">
        <f>B7*20000+(1-B7)*50000-F7</f>
        <v>1671.725582166524</v>
      </c>
      <c r="H7" s="10">
        <f>C7+G7</f>
        <v>15171.725582166524</v>
      </c>
      <c r="I7" s="7">
        <f>17500-333*D7</f>
        <v>15502</v>
      </c>
      <c r="J7" s="7">
        <f>17500-666*D7</f>
        <v>13504</v>
      </c>
      <c r="K7" s="8">
        <f>C7-J7</f>
        <v>-4</v>
      </c>
      <c r="L7" s="1">
        <v>8000</v>
      </c>
      <c r="M7" s="13">
        <f>I7-L7</f>
        <v>7502</v>
      </c>
      <c r="N7" s="1"/>
      <c r="O7" s="1">
        <f>L7-C7</f>
        <v>-5500</v>
      </c>
      <c r="P7" s="1"/>
    </row>
    <row r="8" spans="1:17" x14ac:dyDescent="0.2">
      <c r="A8">
        <v>7</v>
      </c>
      <c r="B8">
        <v>0.44</v>
      </c>
      <c r="C8">
        <f t="shared" si="0"/>
        <v>13200</v>
      </c>
      <c r="D8">
        <v>7</v>
      </c>
      <c r="E8">
        <f>15300-150*D8</f>
        <v>14250</v>
      </c>
      <c r="F8" s="7">
        <f>(B8*SQRT(20000)+(1-B8)*SQRT(50000))^2</f>
        <v>35135.704309309782</v>
      </c>
      <c r="G8" s="7">
        <f>B8*20000+(1-B8)*50000-F8</f>
        <v>1664.2956906902182</v>
      </c>
      <c r="H8" s="7">
        <f>C8+G8</f>
        <v>14864.295690690218</v>
      </c>
      <c r="I8" s="7">
        <f>17500-333*D8</f>
        <v>15169</v>
      </c>
      <c r="J8" s="7">
        <f>17500-666*D8</f>
        <v>12838</v>
      </c>
      <c r="K8" s="7">
        <f>C8-J8</f>
        <v>362</v>
      </c>
      <c r="L8" s="1">
        <v>8000</v>
      </c>
      <c r="M8" s="13">
        <f>I8-L8</f>
        <v>7169</v>
      </c>
      <c r="N8" s="1"/>
      <c r="O8" s="1">
        <f>L8-C8</f>
        <v>-5200</v>
      </c>
      <c r="P8" s="1"/>
    </row>
    <row r="9" spans="1:17" x14ac:dyDescent="0.2">
      <c r="A9">
        <v>8</v>
      </c>
      <c r="B9">
        <v>0.43</v>
      </c>
      <c r="C9">
        <f t="shared" si="0"/>
        <v>12900</v>
      </c>
      <c r="D9">
        <v>8</v>
      </c>
      <c r="E9">
        <f>15300-150*D9</f>
        <v>14100</v>
      </c>
      <c r="F9" s="7">
        <f>(B9*SQRT(20000)+(1-B9)*SQRT(50000))^2</f>
        <v>35444.485090145405</v>
      </c>
      <c r="G9" s="7">
        <f>B9*20000+(1-B9)*50000-F9</f>
        <v>1655.5149098545953</v>
      </c>
      <c r="H9" s="7">
        <f>C9+G9</f>
        <v>14555.514909854595</v>
      </c>
      <c r="I9" s="7">
        <f>17500-333*D9</f>
        <v>14836</v>
      </c>
      <c r="J9" s="7">
        <f>17500-666*D9</f>
        <v>12172</v>
      </c>
      <c r="K9" s="7">
        <f>C9-J9</f>
        <v>728</v>
      </c>
      <c r="L9" s="1">
        <v>8000</v>
      </c>
      <c r="M9" s="13">
        <f>I9-L9</f>
        <v>6836</v>
      </c>
      <c r="N9" s="1"/>
      <c r="O9" s="1">
        <f>L9-C9</f>
        <v>-4900</v>
      </c>
      <c r="P9" s="1"/>
    </row>
    <row r="10" spans="1:17" x14ac:dyDescent="0.2">
      <c r="A10">
        <v>9</v>
      </c>
      <c r="B10">
        <v>0.42</v>
      </c>
      <c r="C10">
        <f t="shared" si="0"/>
        <v>12600</v>
      </c>
      <c r="D10">
        <v>9</v>
      </c>
      <c r="E10">
        <f>15300-150*D10</f>
        <v>13950</v>
      </c>
      <c r="F10" s="7">
        <f>(B10*SQRT(20000)+(1-B10)*SQRT(50000))^2</f>
        <v>35754.616760340352</v>
      </c>
      <c r="G10" s="7">
        <f>B10*20000+(1-B10)*50000-F10</f>
        <v>1645.3832396596481</v>
      </c>
      <c r="H10" s="7">
        <f>C10+G10</f>
        <v>14245.383239659648</v>
      </c>
      <c r="I10" s="7">
        <f>17500-333*D10</f>
        <v>14503</v>
      </c>
      <c r="J10" s="7">
        <f>17500-666*D10</f>
        <v>11506</v>
      </c>
      <c r="K10" s="7">
        <f>C10-J10</f>
        <v>1094</v>
      </c>
      <c r="L10" s="1">
        <v>8000</v>
      </c>
      <c r="M10" s="13">
        <f>I10-L10</f>
        <v>6503</v>
      </c>
      <c r="N10" s="1"/>
      <c r="O10" s="1">
        <f>L10-C10</f>
        <v>-4600</v>
      </c>
      <c r="P10" s="1"/>
    </row>
    <row r="11" spans="1:17" x14ac:dyDescent="0.2">
      <c r="A11">
        <v>10</v>
      </c>
      <c r="B11">
        <v>0.41</v>
      </c>
      <c r="C11">
        <f t="shared" si="0"/>
        <v>12300</v>
      </c>
      <c r="D11">
        <v>10</v>
      </c>
      <c r="E11">
        <f>15300-150*D11</f>
        <v>13800</v>
      </c>
      <c r="F11" s="7">
        <f>(B11*SQRT(20000)+(1-B11)*SQRT(50000))^2</f>
        <v>36066.099319894616</v>
      </c>
      <c r="G11" s="7">
        <f>B11*20000+(1-B11)*50000-F11</f>
        <v>1633.9006801053838</v>
      </c>
      <c r="H11" s="7">
        <f>C11+G11</f>
        <v>13933.900680105384</v>
      </c>
      <c r="I11" s="7">
        <f>17500-333*D11</f>
        <v>14170</v>
      </c>
      <c r="J11" s="7">
        <f>17500-666*D11</f>
        <v>10840</v>
      </c>
      <c r="K11" s="7">
        <f>C11-J11</f>
        <v>1460</v>
      </c>
      <c r="L11" s="1">
        <v>8000</v>
      </c>
      <c r="M11" s="13">
        <f>I11-L11</f>
        <v>6170</v>
      </c>
      <c r="N11" s="1"/>
      <c r="O11" s="1">
        <f>L11-C11</f>
        <v>-4300</v>
      </c>
      <c r="P11" s="1"/>
    </row>
    <row r="12" spans="1:17" x14ac:dyDescent="0.2">
      <c r="A12">
        <v>11</v>
      </c>
      <c r="B12">
        <v>0.4</v>
      </c>
      <c r="C12">
        <f t="shared" si="0"/>
        <v>12000</v>
      </c>
      <c r="D12">
        <v>11</v>
      </c>
      <c r="E12">
        <f>15300-150*D12</f>
        <v>13650</v>
      </c>
      <c r="F12" s="7">
        <f>(B12*SQRT(20000)+(1-B12)*SQRT(50000))^2</f>
        <v>36378.932768808219</v>
      </c>
      <c r="G12" s="7">
        <f>B12*20000+(1-B12)*50000-F12</f>
        <v>1621.0672311917806</v>
      </c>
      <c r="H12" s="7">
        <f>C12+G12</f>
        <v>13621.067231191781</v>
      </c>
      <c r="I12" s="7">
        <f>17500-333*D12</f>
        <v>13837</v>
      </c>
      <c r="J12" s="7">
        <f>17500-666*D12</f>
        <v>10174</v>
      </c>
      <c r="K12" s="7">
        <f>C12-J12</f>
        <v>1826</v>
      </c>
      <c r="L12" s="1">
        <v>8000</v>
      </c>
      <c r="M12" s="13">
        <f>I12-L12</f>
        <v>5837</v>
      </c>
      <c r="N12" s="1"/>
      <c r="O12" s="1">
        <f>L12-C12</f>
        <v>-4000</v>
      </c>
      <c r="P12" s="1"/>
    </row>
    <row r="13" spans="1:17" x14ac:dyDescent="0.2">
      <c r="A13">
        <v>12</v>
      </c>
      <c r="B13">
        <v>0.39</v>
      </c>
      <c r="C13">
        <f t="shared" si="0"/>
        <v>11700</v>
      </c>
      <c r="D13">
        <v>12</v>
      </c>
      <c r="E13">
        <f>15300-150*D13</f>
        <v>13500</v>
      </c>
      <c r="F13" s="7">
        <f>(B13*SQRT(20000)+(1-B13)*SQRT(50000))^2</f>
        <v>36693.117107081147</v>
      </c>
      <c r="G13" s="7">
        <f>B13*20000+(1-B13)*50000-F13</f>
        <v>1606.882892918853</v>
      </c>
      <c r="H13" s="7">
        <f>C13+G13</f>
        <v>13306.882892918853</v>
      </c>
      <c r="I13" s="7">
        <f>17500-333*D13</f>
        <v>13504</v>
      </c>
      <c r="J13" s="7">
        <f>17500-666*D13</f>
        <v>9508</v>
      </c>
      <c r="K13" s="7">
        <f>C13-J13</f>
        <v>2192</v>
      </c>
      <c r="L13" s="1">
        <v>8000</v>
      </c>
      <c r="M13" s="13">
        <f>I13-L13</f>
        <v>5504</v>
      </c>
      <c r="N13" s="1"/>
      <c r="O13" s="1">
        <f>L13-C13</f>
        <v>-3700</v>
      </c>
      <c r="P13" s="1"/>
    </row>
    <row r="14" spans="1:17" x14ac:dyDescent="0.2">
      <c r="A14">
        <v>13</v>
      </c>
      <c r="B14">
        <v>0.38</v>
      </c>
      <c r="C14">
        <f t="shared" si="0"/>
        <v>11400</v>
      </c>
      <c r="D14">
        <v>13</v>
      </c>
      <c r="E14">
        <f>15300-150*D14</f>
        <v>13350</v>
      </c>
      <c r="F14" s="7">
        <f>(B14*SQRT(20000)+(1-B14)*SQRT(50000))^2</f>
        <v>37008.652334713399</v>
      </c>
      <c r="G14" s="7">
        <f>B14*20000+(1-B14)*50000-F14</f>
        <v>1591.3476652866011</v>
      </c>
      <c r="H14" s="7">
        <f>C14+G14</f>
        <v>12991.347665286601</v>
      </c>
      <c r="I14" s="7">
        <f>17500-333*D14</f>
        <v>13171</v>
      </c>
      <c r="J14" s="7">
        <f>17500-666*D14</f>
        <v>8842</v>
      </c>
      <c r="K14" s="7">
        <f>C14-J14</f>
        <v>2558</v>
      </c>
      <c r="L14" s="1">
        <v>8000</v>
      </c>
      <c r="M14" s="13">
        <f>I14-L14</f>
        <v>5171</v>
      </c>
      <c r="N14" s="1"/>
      <c r="O14" s="1">
        <f>L14-C14</f>
        <v>-3400</v>
      </c>
      <c r="P14" s="1"/>
    </row>
    <row r="15" spans="1:17" x14ac:dyDescent="0.2">
      <c r="A15">
        <v>14</v>
      </c>
      <c r="B15">
        <v>0.37</v>
      </c>
      <c r="C15">
        <f t="shared" si="0"/>
        <v>11100</v>
      </c>
      <c r="D15">
        <v>14</v>
      </c>
      <c r="E15">
        <f>15300-150*D15</f>
        <v>13200</v>
      </c>
      <c r="F15" s="7">
        <f>(B15*SQRT(20000)+(1-B15)*SQRT(50000))^2</f>
        <v>37325.538451704982</v>
      </c>
      <c r="G15" s="7">
        <f>B15*20000+(1-B15)*50000-F15</f>
        <v>1574.4615482950176</v>
      </c>
      <c r="H15" s="7">
        <f>C15+G15</f>
        <v>12674.461548295018</v>
      </c>
      <c r="I15" s="7">
        <f>17500-333*D15</f>
        <v>12838</v>
      </c>
      <c r="J15" s="7">
        <f>17500-666*D15</f>
        <v>8176</v>
      </c>
      <c r="K15" s="7">
        <f>C15-J15</f>
        <v>2924</v>
      </c>
      <c r="L15" s="1">
        <v>8000</v>
      </c>
      <c r="M15" s="13">
        <f>I15-L15</f>
        <v>4838</v>
      </c>
      <c r="N15" s="1"/>
      <c r="O15" s="1">
        <f>L15-C15</f>
        <v>-3100</v>
      </c>
      <c r="P15" s="1"/>
    </row>
    <row r="16" spans="1:17" x14ac:dyDescent="0.2">
      <c r="A16">
        <v>15</v>
      </c>
      <c r="B16">
        <v>0.36</v>
      </c>
      <c r="C16">
        <f t="shared" si="0"/>
        <v>10800</v>
      </c>
      <c r="D16">
        <v>15</v>
      </c>
      <c r="E16">
        <f>15300-150*D16</f>
        <v>13050</v>
      </c>
      <c r="F16" s="7">
        <f>(B16*SQRT(20000)+(1-B16)*SQRT(50000))^2</f>
        <v>37643.775458055898</v>
      </c>
      <c r="G16" s="7">
        <f>B16*20000+(1-B16)*50000-F16</f>
        <v>1556.2245419441024</v>
      </c>
      <c r="H16" s="7">
        <f>C16+G16</f>
        <v>12356.224541944102</v>
      </c>
      <c r="I16" s="7">
        <f>17500-333*D16</f>
        <v>12505</v>
      </c>
      <c r="J16" s="7">
        <f>17500-666*D16</f>
        <v>7510</v>
      </c>
      <c r="K16" s="7">
        <f>C16-J16</f>
        <v>3290</v>
      </c>
      <c r="L16" s="1">
        <v>8000</v>
      </c>
      <c r="M16" s="13">
        <f>I16-L16</f>
        <v>4505</v>
      </c>
      <c r="N16" s="1"/>
      <c r="O16" s="1">
        <f>L16-C16</f>
        <v>-2800</v>
      </c>
      <c r="P16" s="1"/>
    </row>
    <row r="17" spans="1:16" x14ac:dyDescent="0.2">
      <c r="A17">
        <v>16</v>
      </c>
      <c r="B17">
        <v>0.35</v>
      </c>
      <c r="C17">
        <f t="shared" si="0"/>
        <v>10500</v>
      </c>
      <c r="D17">
        <v>16</v>
      </c>
      <c r="E17">
        <f>15300-150*D17</f>
        <v>12900</v>
      </c>
      <c r="F17" s="7">
        <f>(B17*SQRT(20000)+(1-B17)*SQRT(50000))^2</f>
        <v>37963.363353766123</v>
      </c>
      <c r="G17" s="7">
        <f>B17*20000+(1-B17)*50000-F17</f>
        <v>1536.6366462338774</v>
      </c>
      <c r="H17" s="7">
        <f>C17+G17</f>
        <v>12036.636646233877</v>
      </c>
      <c r="I17" s="7">
        <f>17500-333*D17</f>
        <v>12172</v>
      </c>
      <c r="J17" s="7">
        <f>17500-666*D17</f>
        <v>6844</v>
      </c>
      <c r="K17" s="7">
        <f>C17-J17</f>
        <v>3656</v>
      </c>
      <c r="L17" s="1">
        <v>8000</v>
      </c>
      <c r="M17" s="13">
        <f>I17-L17</f>
        <v>4172</v>
      </c>
      <c r="N17" s="1"/>
      <c r="O17" s="1">
        <f>L17-C17</f>
        <v>-2500</v>
      </c>
      <c r="P17" s="1"/>
    </row>
    <row r="18" spans="1:16" x14ac:dyDescent="0.2">
      <c r="A18">
        <v>17</v>
      </c>
      <c r="B18">
        <v>0.34</v>
      </c>
      <c r="C18">
        <f t="shared" si="0"/>
        <v>10200</v>
      </c>
      <c r="D18">
        <v>17</v>
      </c>
      <c r="E18">
        <f>15300-150*D18</f>
        <v>12750</v>
      </c>
      <c r="F18" s="7">
        <f>(B18*SQRT(20000)+(1-B18)*SQRT(50000))^2</f>
        <v>38284.302138835672</v>
      </c>
      <c r="G18" s="7">
        <f>B18*20000+(1-B18)*50000-F18</f>
        <v>1515.6978611643208</v>
      </c>
      <c r="H18" s="7">
        <f>C18+G18</f>
        <v>11715.697861164321</v>
      </c>
      <c r="I18" s="7">
        <f>17500-333*D18</f>
        <v>11839</v>
      </c>
      <c r="J18" s="7">
        <f>17500-666*D18</f>
        <v>6178</v>
      </c>
      <c r="K18" s="7">
        <f>C18-J18</f>
        <v>4022</v>
      </c>
      <c r="L18" s="1">
        <v>8000</v>
      </c>
      <c r="M18" s="13">
        <f>I18-L18</f>
        <v>3839</v>
      </c>
      <c r="N18" s="1"/>
      <c r="O18" s="1">
        <f>L18-C18</f>
        <v>-2200</v>
      </c>
      <c r="P18" s="1"/>
    </row>
    <row r="19" spans="1:16" x14ac:dyDescent="0.2">
      <c r="A19">
        <v>18</v>
      </c>
      <c r="B19">
        <v>0.33</v>
      </c>
      <c r="C19">
        <f t="shared" si="0"/>
        <v>9900</v>
      </c>
      <c r="D19">
        <v>18</v>
      </c>
      <c r="E19">
        <f>15300-150*D19</f>
        <v>12600</v>
      </c>
      <c r="F19" s="7">
        <f>(B19*SQRT(20000)+(1-B19)*SQRT(50000))^2</f>
        <v>38606.591813264567</v>
      </c>
      <c r="G19" s="7">
        <f>B19*20000+(1-B19)*50000-F19</f>
        <v>1493.4081867354325</v>
      </c>
      <c r="H19" s="7">
        <f>C19+G19</f>
        <v>11393.408186735433</v>
      </c>
      <c r="I19" s="7">
        <f>17500-333*D19</f>
        <v>11506</v>
      </c>
      <c r="J19" s="7">
        <f>17500-666*D19</f>
        <v>5512</v>
      </c>
      <c r="K19" s="7">
        <f>C19-J19</f>
        <v>4388</v>
      </c>
      <c r="L19" s="1">
        <v>8000</v>
      </c>
      <c r="M19" s="13">
        <f>I19-L19</f>
        <v>3506</v>
      </c>
      <c r="N19" s="1"/>
      <c r="O19" s="1">
        <f>L19-C19</f>
        <v>-1900</v>
      </c>
      <c r="P19" s="1"/>
    </row>
    <row r="20" spans="1:16" x14ac:dyDescent="0.2">
      <c r="A20">
        <v>19</v>
      </c>
      <c r="B20">
        <v>0.32</v>
      </c>
      <c r="C20">
        <f t="shared" si="0"/>
        <v>9600</v>
      </c>
      <c r="D20">
        <v>19</v>
      </c>
      <c r="E20">
        <f>15300-150*D20</f>
        <v>12450</v>
      </c>
      <c r="F20" s="7">
        <f>(B20*SQRT(20000)+(1-B20)*SQRT(50000))^2</f>
        <v>38930.23237705278</v>
      </c>
      <c r="G20" s="7">
        <f>B20*20000+(1-B20)*50000-F20</f>
        <v>1469.7676229472199</v>
      </c>
      <c r="H20" s="7">
        <f>C20+G20</f>
        <v>11069.76762294722</v>
      </c>
      <c r="I20" s="7">
        <f>17500-333*D20</f>
        <v>11173</v>
      </c>
      <c r="J20" s="7">
        <f>17500-666*D20</f>
        <v>4846</v>
      </c>
      <c r="K20" s="7">
        <f>C20-J20</f>
        <v>4754</v>
      </c>
      <c r="L20" s="1">
        <v>8000</v>
      </c>
      <c r="M20" s="13">
        <f>I20-L20</f>
        <v>3173</v>
      </c>
      <c r="N20" s="1"/>
      <c r="O20" s="1">
        <f>L20-C20</f>
        <v>-1600</v>
      </c>
      <c r="P20" s="1"/>
    </row>
    <row r="21" spans="1:16" x14ac:dyDescent="0.2">
      <c r="A21">
        <v>20</v>
      </c>
      <c r="B21">
        <v>0.31</v>
      </c>
      <c r="C21">
        <f t="shared" si="0"/>
        <v>9300</v>
      </c>
      <c r="D21">
        <v>20</v>
      </c>
      <c r="E21">
        <f>15300-150*D21</f>
        <v>12300</v>
      </c>
      <c r="F21" s="7">
        <f>(B21*SQRT(20000)+(1-B21)*SQRT(50000))^2</f>
        <v>39255.223830200324</v>
      </c>
      <c r="G21" s="7">
        <f>B21*20000+(1-B21)*50000-F21</f>
        <v>1444.7761697996757</v>
      </c>
      <c r="H21" s="7">
        <f>C21+G21</f>
        <v>10744.776169799676</v>
      </c>
      <c r="I21" s="7">
        <f>17500-333*D21</f>
        <v>10840</v>
      </c>
      <c r="J21" s="7">
        <f>17500-666*D21</f>
        <v>4180</v>
      </c>
      <c r="K21" s="7">
        <f>C21-J21</f>
        <v>5120</v>
      </c>
      <c r="L21" s="1">
        <v>8000</v>
      </c>
      <c r="M21" s="13">
        <f>I21-L21</f>
        <v>2840</v>
      </c>
      <c r="N21" s="1"/>
      <c r="O21" s="1">
        <f>L21-C21</f>
        <v>-1300</v>
      </c>
      <c r="P21" s="1"/>
    </row>
    <row r="22" spans="1:16" x14ac:dyDescent="0.2">
      <c r="A22">
        <v>21</v>
      </c>
      <c r="B22">
        <v>0.3</v>
      </c>
      <c r="C22">
        <f t="shared" si="0"/>
        <v>9000</v>
      </c>
      <c r="D22">
        <v>21</v>
      </c>
      <c r="E22">
        <f>15300-150*D22</f>
        <v>12150</v>
      </c>
      <c r="F22" s="7">
        <f>(B22*SQRT(20000)+(1-B22)*SQRT(50000))^2</f>
        <v>39581.566172707186</v>
      </c>
      <c r="G22" s="7">
        <f>B22*20000+(1-B22)*50000-F22</f>
        <v>1418.4338272928144</v>
      </c>
      <c r="H22" s="7">
        <f>C22+G22</f>
        <v>10418.433827292814</v>
      </c>
      <c r="I22" s="7">
        <f>17500-333*D22</f>
        <v>10507</v>
      </c>
      <c r="J22" s="7">
        <f>17500-666*D22</f>
        <v>3514</v>
      </c>
      <c r="K22" s="7">
        <f>C22-J22</f>
        <v>5486</v>
      </c>
      <c r="L22" s="1">
        <v>8000</v>
      </c>
      <c r="M22" s="13">
        <f>I22-L22</f>
        <v>2507</v>
      </c>
      <c r="N22" s="1"/>
      <c r="O22" s="1">
        <f>L22-C22</f>
        <v>-1000</v>
      </c>
      <c r="P22" s="1"/>
    </row>
    <row r="23" spans="1:16" x14ac:dyDescent="0.2">
      <c r="A23">
        <v>22</v>
      </c>
      <c r="B23">
        <v>0.28999999999999998</v>
      </c>
      <c r="C23">
        <f t="shared" si="0"/>
        <v>8700</v>
      </c>
      <c r="D23">
        <v>22</v>
      </c>
      <c r="E23">
        <f>15300-150*D23</f>
        <v>12000</v>
      </c>
      <c r="F23" s="7">
        <f>(B23*SQRT(20000)+(1-B23)*SQRT(50000))^2</f>
        <v>39909.259404573379</v>
      </c>
      <c r="G23" s="7">
        <f>B23*20000+(1-B23)*50000-F23</f>
        <v>1390.7405954266214</v>
      </c>
      <c r="H23" s="7">
        <f>C23+G23</f>
        <v>10090.740595426621</v>
      </c>
      <c r="I23" s="7">
        <f>17500-333*D23</f>
        <v>10174</v>
      </c>
      <c r="J23" s="7">
        <f>17500-666*D23</f>
        <v>2848</v>
      </c>
      <c r="K23" s="7">
        <f>C23-J23</f>
        <v>5852</v>
      </c>
      <c r="L23" s="1">
        <v>8000</v>
      </c>
      <c r="M23" s="13">
        <f>I23-L23</f>
        <v>2174</v>
      </c>
      <c r="N23" s="1"/>
      <c r="O23" s="1">
        <f>L23-C23</f>
        <v>-700</v>
      </c>
      <c r="P23" s="1"/>
    </row>
    <row r="24" spans="1:16" x14ac:dyDescent="0.2">
      <c r="A24">
        <v>23</v>
      </c>
      <c r="B24">
        <v>0.28000000000000003</v>
      </c>
      <c r="C24">
        <f t="shared" si="0"/>
        <v>8400</v>
      </c>
      <c r="D24">
        <v>23</v>
      </c>
      <c r="E24">
        <f>15300-150*D24</f>
        <v>11850</v>
      </c>
      <c r="F24" s="7">
        <f>(B24*SQRT(20000)+(1-B24)*SQRT(50000))^2</f>
        <v>40238.303525798903</v>
      </c>
      <c r="G24" s="7">
        <f>B24*20000+(1-B24)*50000-F24</f>
        <v>1361.6964742010969</v>
      </c>
      <c r="H24" s="7">
        <f>C24+G24</f>
        <v>9761.6964742010969</v>
      </c>
      <c r="I24" s="7">
        <f>17500-333*D24</f>
        <v>9841</v>
      </c>
      <c r="J24" s="7">
        <f>17500-666*D24</f>
        <v>2182</v>
      </c>
      <c r="K24" s="7">
        <f>C24-J24</f>
        <v>6218</v>
      </c>
      <c r="L24" s="1">
        <v>8000</v>
      </c>
      <c r="M24" s="13">
        <f>I24-L24</f>
        <v>1841</v>
      </c>
      <c r="N24" s="1"/>
      <c r="O24" s="1">
        <f>L24-C24</f>
        <v>-400</v>
      </c>
      <c r="P24" s="1"/>
    </row>
    <row r="25" spans="1:16" x14ac:dyDescent="0.2">
      <c r="A25">
        <v>24</v>
      </c>
      <c r="B25">
        <v>0.27</v>
      </c>
      <c r="C25">
        <f t="shared" si="0"/>
        <v>8100.0000000000009</v>
      </c>
      <c r="D25">
        <v>24</v>
      </c>
      <c r="E25">
        <f>15300-150*D25</f>
        <v>11700</v>
      </c>
      <c r="F25" s="7">
        <f>(B25*SQRT(20000)+(1-B25)*SQRT(50000))^2</f>
        <v>40568.698536383745</v>
      </c>
      <c r="G25" s="7">
        <f>B25*20000+(1-B25)*50000-F25</f>
        <v>1331.3014636162552</v>
      </c>
      <c r="H25" s="7">
        <f>C25+G25</f>
        <v>9431.3014636162552</v>
      </c>
      <c r="I25" s="7">
        <f>17500-333*D25</f>
        <v>9508</v>
      </c>
      <c r="J25" s="7">
        <f>17500-666*D25</f>
        <v>1516</v>
      </c>
      <c r="K25" s="7">
        <f>C25-J25</f>
        <v>6584.0000000000009</v>
      </c>
      <c r="L25" s="1">
        <v>8000</v>
      </c>
      <c r="M25" s="13">
        <f>I25-L25</f>
        <v>1508</v>
      </c>
      <c r="N25" s="1"/>
      <c r="O25" s="1">
        <f>L25-C25</f>
        <v>-100.00000000000091</v>
      </c>
      <c r="P25" s="1"/>
    </row>
    <row r="26" spans="1:16" x14ac:dyDescent="0.2">
      <c r="A26">
        <v>25</v>
      </c>
      <c r="B26">
        <v>0.26</v>
      </c>
      <c r="C26">
        <f t="shared" si="0"/>
        <v>7800</v>
      </c>
      <c r="D26">
        <v>25</v>
      </c>
      <c r="E26">
        <f>15300-150*D26</f>
        <v>11550</v>
      </c>
      <c r="F26" s="7">
        <f>(B26*SQRT(20000)+(1-B26)*SQRT(50000))^2</f>
        <v>40900.444436327933</v>
      </c>
      <c r="G26" s="7">
        <f>B26*20000+(1-B26)*50000-F26</f>
        <v>1299.5555636720674</v>
      </c>
      <c r="H26" s="7">
        <f>C26+G26</f>
        <v>9099.5555636720674</v>
      </c>
      <c r="I26" s="7">
        <f>17500-333*D26</f>
        <v>9175</v>
      </c>
      <c r="J26" s="7">
        <f>17500-666*D26</f>
        <v>850</v>
      </c>
      <c r="K26" s="7">
        <f>C26-J26</f>
        <v>6950</v>
      </c>
      <c r="L26" s="1">
        <v>8000</v>
      </c>
      <c r="M26" s="13">
        <f>I26-L26</f>
        <v>1175</v>
      </c>
      <c r="N26" s="1"/>
      <c r="O26" s="1">
        <f>L26-C26</f>
        <v>200</v>
      </c>
      <c r="P26" s="1"/>
    </row>
    <row r="27" spans="1:16" x14ac:dyDescent="0.2">
      <c r="A27">
        <v>26</v>
      </c>
      <c r="B27">
        <v>0.25</v>
      </c>
      <c r="C27">
        <f t="shared" si="0"/>
        <v>7500</v>
      </c>
      <c r="D27">
        <v>26</v>
      </c>
      <c r="E27">
        <f>15300-150*D27</f>
        <v>11400</v>
      </c>
      <c r="F27" s="7">
        <f>(B27*SQRT(20000)+(1-B27)*SQRT(50000))^2</f>
        <v>41233.541225631416</v>
      </c>
      <c r="G27" s="7">
        <f>B27*20000+(1-B27)*50000-F27</f>
        <v>1266.4587743685843</v>
      </c>
      <c r="H27" s="7">
        <f>C27+G27</f>
        <v>8766.4587743685843</v>
      </c>
      <c r="I27" s="7">
        <f>17500-333*D27</f>
        <v>8842</v>
      </c>
      <c r="J27" s="7">
        <f>17500-666*D27</f>
        <v>184</v>
      </c>
      <c r="K27" s="7">
        <f>C27-J27</f>
        <v>7316</v>
      </c>
      <c r="L27" s="1">
        <v>8000</v>
      </c>
      <c r="M27" s="13">
        <f>I27-L27</f>
        <v>842</v>
      </c>
      <c r="N27" s="1"/>
      <c r="O27" s="1">
        <f>L27-C27</f>
        <v>500</v>
      </c>
      <c r="P27" s="1"/>
    </row>
    <row r="28" spans="1:16" x14ac:dyDescent="0.2">
      <c r="A28">
        <v>27</v>
      </c>
      <c r="B28">
        <v>0.24</v>
      </c>
      <c r="C28">
        <f t="shared" si="0"/>
        <v>7200</v>
      </c>
      <c r="D28">
        <v>27</v>
      </c>
      <c r="E28">
        <f>15300-150*D28</f>
        <v>11250</v>
      </c>
      <c r="F28" s="7">
        <f>(B28*SQRT(20000)+(1-B28)*SQRT(50000))^2</f>
        <v>41567.988904294238</v>
      </c>
      <c r="G28" s="7">
        <f>B28*20000+(1-B28)*50000-F28</f>
        <v>1232.0110957057623</v>
      </c>
      <c r="H28" s="7">
        <f>C28+G28</f>
        <v>8432.0110957057623</v>
      </c>
      <c r="I28" s="7">
        <f>17500-333*D28</f>
        <v>8509</v>
      </c>
      <c r="J28" s="7">
        <f>17500-666*D28</f>
        <v>-482</v>
      </c>
      <c r="K28" s="7">
        <f>C28-J28</f>
        <v>7682</v>
      </c>
      <c r="L28" s="1">
        <v>8000</v>
      </c>
      <c r="M28" s="13">
        <f>I28-L28</f>
        <v>509</v>
      </c>
      <c r="N28" s="1"/>
      <c r="O28" s="1">
        <f>L28-C28</f>
        <v>800</v>
      </c>
      <c r="P28" s="1"/>
    </row>
    <row r="29" spans="1:16" x14ac:dyDescent="0.2">
      <c r="A29">
        <v>28</v>
      </c>
      <c r="B29">
        <v>0.23</v>
      </c>
      <c r="C29">
        <f t="shared" si="0"/>
        <v>6900</v>
      </c>
      <c r="D29">
        <v>28</v>
      </c>
      <c r="E29">
        <f>15300-150*D29</f>
        <v>11100</v>
      </c>
      <c r="F29" s="7">
        <f>(B29*SQRT(20000)+(1-B29)*SQRT(50000))^2</f>
        <v>41903.787472316406</v>
      </c>
      <c r="G29" s="7">
        <f>B29*20000+(1-B29)*50000-F29</f>
        <v>1196.2125276835941</v>
      </c>
      <c r="H29" s="7">
        <f>C29+G29</f>
        <v>8096.2125276835941</v>
      </c>
      <c r="I29" s="7">
        <f>17500-333*D29</f>
        <v>8176</v>
      </c>
      <c r="J29" s="7">
        <f>17500-666*D29</f>
        <v>-1148</v>
      </c>
      <c r="K29" s="7">
        <f>C29-J29</f>
        <v>8048</v>
      </c>
      <c r="L29" s="1">
        <v>8000</v>
      </c>
      <c r="M29" s="13">
        <f>I29-L29</f>
        <v>176</v>
      </c>
      <c r="N29" s="1"/>
      <c r="O29" s="1">
        <f>L29-C29</f>
        <v>1100</v>
      </c>
      <c r="P29" s="1"/>
    </row>
    <row r="30" spans="1:16" x14ac:dyDescent="0.2">
      <c r="A30">
        <v>29</v>
      </c>
      <c r="B30">
        <v>0.22</v>
      </c>
      <c r="C30">
        <f t="shared" si="0"/>
        <v>6600</v>
      </c>
      <c r="D30">
        <v>29</v>
      </c>
      <c r="E30">
        <f>15300-150*D30</f>
        <v>10950</v>
      </c>
      <c r="F30" s="7">
        <f>(B30*SQRT(20000)+(1-B30)*SQRT(50000))^2</f>
        <v>42240.936929697884</v>
      </c>
      <c r="G30" s="7">
        <f>B30*20000+(1-B30)*50000-F30</f>
        <v>1159.0630703021161</v>
      </c>
      <c r="H30" s="7">
        <f>C30+G30</f>
        <v>7759.0630703021161</v>
      </c>
      <c r="I30" s="7">
        <f>17500-333*D30</f>
        <v>7843</v>
      </c>
      <c r="J30" s="7">
        <f>17500-666*D30</f>
        <v>-1814</v>
      </c>
      <c r="K30" s="7">
        <f>C30-J30</f>
        <v>8414</v>
      </c>
      <c r="L30" s="1">
        <v>8000</v>
      </c>
      <c r="M30" s="13">
        <f>I30-L30</f>
        <v>-157</v>
      </c>
      <c r="N30" s="1"/>
      <c r="O30" s="1">
        <f>L30-C30</f>
        <v>1400</v>
      </c>
      <c r="P30" s="1"/>
    </row>
    <row r="31" spans="1:16" x14ac:dyDescent="0.2">
      <c r="A31">
        <v>30</v>
      </c>
      <c r="B31">
        <v>0.21</v>
      </c>
      <c r="C31">
        <f t="shared" si="0"/>
        <v>6300</v>
      </c>
      <c r="D31">
        <v>30</v>
      </c>
      <c r="E31">
        <f>15300-150*D31</f>
        <v>10800</v>
      </c>
      <c r="F31" s="7">
        <f>(B31*SQRT(20000)+(1-B31)*SQRT(50000))^2</f>
        <v>42579.437276438672</v>
      </c>
      <c r="G31" s="7">
        <f>B31*20000+(1-B31)*50000-F31</f>
        <v>1120.5627235613283</v>
      </c>
      <c r="H31" s="7">
        <f>C31+G31</f>
        <v>7420.5627235613283</v>
      </c>
      <c r="I31" s="7">
        <f>17500-333*D31</f>
        <v>7510</v>
      </c>
      <c r="J31" s="7">
        <f>17500-666*D31</f>
        <v>-2480</v>
      </c>
      <c r="K31" s="7">
        <f>C31-J31</f>
        <v>8780</v>
      </c>
      <c r="L31" s="1">
        <v>8000</v>
      </c>
      <c r="M31" s="13">
        <f>I31-L31</f>
        <v>-490</v>
      </c>
      <c r="N31" s="1"/>
      <c r="O31" s="1">
        <f>L31-C31</f>
        <v>1700</v>
      </c>
      <c r="P31" s="1"/>
    </row>
    <row r="32" spans="1:16" x14ac:dyDescent="0.2">
      <c r="A32">
        <v>31</v>
      </c>
      <c r="B32">
        <v>0.2</v>
      </c>
      <c r="C32">
        <f t="shared" si="0"/>
        <v>6000</v>
      </c>
      <c r="D32">
        <v>31</v>
      </c>
      <c r="E32">
        <f>15300-150*D32</f>
        <v>10650</v>
      </c>
      <c r="F32" s="7">
        <f>(B32*SQRT(20000)+(1-B32)*SQRT(50000))^2</f>
        <v>42919.28851253882</v>
      </c>
      <c r="G32" s="7">
        <f>B32*20000+(1-B32)*50000-F32</f>
        <v>1080.7114874611798</v>
      </c>
      <c r="H32" s="7">
        <f>C32+G32</f>
        <v>7080.7114874611798</v>
      </c>
      <c r="I32" s="7">
        <f>17500-333*D32</f>
        <v>7177</v>
      </c>
      <c r="J32" s="7">
        <f>17500-666*D32</f>
        <v>-3146</v>
      </c>
      <c r="K32" s="7">
        <f>C32-J32</f>
        <v>9146</v>
      </c>
      <c r="L32" s="1">
        <v>8000</v>
      </c>
      <c r="M32" s="13">
        <f>I32-L32</f>
        <v>-823</v>
      </c>
      <c r="N32" s="1"/>
      <c r="O32" s="1">
        <f>L32-C32</f>
        <v>2000</v>
      </c>
      <c r="P32" s="1"/>
    </row>
    <row r="33" spans="1:16" x14ac:dyDescent="0.2">
      <c r="A33">
        <v>32</v>
      </c>
      <c r="B33">
        <v>0.19</v>
      </c>
      <c r="C33">
        <f t="shared" si="0"/>
        <v>5700</v>
      </c>
      <c r="D33">
        <v>32</v>
      </c>
      <c r="E33">
        <f>15300-150*D33</f>
        <v>10500</v>
      </c>
      <c r="F33" s="7">
        <f>(B33*SQRT(20000)+(1-B33)*SQRT(50000))^2</f>
        <v>43260.490637998279</v>
      </c>
      <c r="G33" s="7">
        <f>B33*20000+(1-B33)*50000-F33</f>
        <v>1039.5093620017215</v>
      </c>
      <c r="H33" s="7">
        <f>C33+G33</f>
        <v>6739.5093620017215</v>
      </c>
      <c r="I33" s="7">
        <f>17500-333*D33</f>
        <v>6844</v>
      </c>
      <c r="J33" s="7">
        <f>17500-666*D33</f>
        <v>-3812</v>
      </c>
      <c r="K33" s="7">
        <f>C33-J33</f>
        <v>9512</v>
      </c>
      <c r="L33" s="1">
        <v>8000</v>
      </c>
      <c r="M33" s="13">
        <f>I33-L33</f>
        <v>-1156</v>
      </c>
      <c r="N33" s="1"/>
      <c r="O33" s="1">
        <f>L33-C33</f>
        <v>2300</v>
      </c>
      <c r="P33" s="1"/>
    </row>
    <row r="34" spans="1:16" x14ac:dyDescent="0.2">
      <c r="A34">
        <v>33</v>
      </c>
      <c r="B34">
        <v>0.18</v>
      </c>
      <c r="C34">
        <f t="shared" si="0"/>
        <v>5400</v>
      </c>
      <c r="D34">
        <v>33</v>
      </c>
      <c r="E34">
        <f>15300-150*D34</f>
        <v>10350</v>
      </c>
      <c r="F34" s="7">
        <f>(B34*SQRT(20000)+(1-B34)*SQRT(50000))^2</f>
        <v>43603.043652817061</v>
      </c>
      <c r="G34" s="7">
        <f>B34*20000+(1-B34)*50000-F34</f>
        <v>996.95634718293877</v>
      </c>
      <c r="H34" s="7">
        <f>C34+G34</f>
        <v>6396.9563471829388</v>
      </c>
      <c r="I34" s="7">
        <f>17500-333*D34</f>
        <v>6511</v>
      </c>
      <c r="J34" s="7">
        <f>17500-666*D34</f>
        <v>-4478</v>
      </c>
      <c r="K34" s="7">
        <f>C34-J34</f>
        <v>9878</v>
      </c>
      <c r="L34" s="1">
        <v>8000</v>
      </c>
      <c r="M34" s="13">
        <f>I34-L34</f>
        <v>-1489</v>
      </c>
      <c r="N34" s="1"/>
      <c r="O34" s="1">
        <f>L34-C34</f>
        <v>2600</v>
      </c>
      <c r="P34" s="1"/>
    </row>
    <row r="35" spans="1:16" x14ac:dyDescent="0.2">
      <c r="A35">
        <v>34</v>
      </c>
      <c r="B35">
        <v>0.17</v>
      </c>
      <c r="C35">
        <f t="shared" si="0"/>
        <v>5100</v>
      </c>
      <c r="D35">
        <v>34</v>
      </c>
      <c r="E35">
        <f>15300-150*D35</f>
        <v>10200</v>
      </c>
      <c r="F35" s="7">
        <f>(B35*SQRT(20000)+(1-B35)*SQRT(50000))^2</f>
        <v>43946.947556995161</v>
      </c>
      <c r="G35" s="7">
        <f>B35*20000+(1-B35)*50000-F35</f>
        <v>953.05244300483901</v>
      </c>
      <c r="H35" s="7">
        <f>C35+G35</f>
        <v>6053.052443004839</v>
      </c>
      <c r="I35" s="7">
        <f>17500-333*D35</f>
        <v>6178</v>
      </c>
      <c r="J35" s="7">
        <f>17500-666*D35</f>
        <v>-5144</v>
      </c>
      <c r="K35" s="7">
        <f>C35-J35</f>
        <v>10244</v>
      </c>
      <c r="L35" s="1">
        <v>8000</v>
      </c>
      <c r="M35" s="13">
        <f>I35-L35</f>
        <v>-1822</v>
      </c>
      <c r="N35" s="1"/>
      <c r="O35" s="1">
        <f>L35-C35</f>
        <v>2900</v>
      </c>
      <c r="P35" s="1"/>
    </row>
    <row r="36" spans="1:16" x14ac:dyDescent="0.2">
      <c r="A36">
        <v>35</v>
      </c>
      <c r="B36">
        <v>0.16</v>
      </c>
      <c r="C36">
        <f t="shared" si="0"/>
        <v>4800</v>
      </c>
      <c r="D36">
        <v>35</v>
      </c>
      <c r="E36">
        <f>15300-150*D36</f>
        <v>10050</v>
      </c>
      <c r="F36" s="7">
        <f>(B36*SQRT(20000)+(1-B36)*SQRT(50000))^2</f>
        <v>44292.202350532607</v>
      </c>
      <c r="G36" s="7">
        <f>B36*20000+(1-B36)*50000-F36</f>
        <v>907.79764946739306</v>
      </c>
      <c r="H36" s="7">
        <f>C36+G36</f>
        <v>5707.7976494673931</v>
      </c>
      <c r="I36" s="7">
        <f>17500-333*D36</f>
        <v>5845</v>
      </c>
      <c r="J36" s="7">
        <f>17500-666*D36</f>
        <v>-5810</v>
      </c>
      <c r="K36" s="7">
        <f>C36-J36</f>
        <v>10610</v>
      </c>
      <c r="L36" s="1">
        <v>8000</v>
      </c>
      <c r="M36" s="13">
        <f>I36-L36</f>
        <v>-2155</v>
      </c>
      <c r="N36" s="1"/>
      <c r="O36" s="1">
        <f>L36-C36</f>
        <v>3200</v>
      </c>
      <c r="P36" s="1"/>
    </row>
    <row r="37" spans="1:16" x14ac:dyDescent="0.2">
      <c r="A37">
        <v>36</v>
      </c>
      <c r="B37">
        <v>0.15</v>
      </c>
      <c r="C37">
        <f t="shared" si="0"/>
        <v>4500</v>
      </c>
      <c r="D37">
        <v>36</v>
      </c>
      <c r="E37">
        <f>15300-150*D37</f>
        <v>9900</v>
      </c>
      <c r="F37" s="7">
        <f>(B37*SQRT(20000)+(1-B37)*SQRT(50000))^2</f>
        <v>44638.80803342937</v>
      </c>
      <c r="G37" s="7">
        <f>B37*20000+(1-B37)*50000-F37</f>
        <v>861.19196657063003</v>
      </c>
      <c r="H37" s="7">
        <f>C37+G37</f>
        <v>5361.19196657063</v>
      </c>
      <c r="I37" s="7">
        <f>17500-333*D37</f>
        <v>5512</v>
      </c>
      <c r="J37" s="7">
        <f>17500-666*D37</f>
        <v>-6476</v>
      </c>
      <c r="K37" s="7">
        <f>C37-J37</f>
        <v>10976</v>
      </c>
      <c r="L37" s="1">
        <v>8000</v>
      </c>
      <c r="M37" s="13">
        <f>I37-L37</f>
        <v>-2488</v>
      </c>
      <c r="N37" s="1"/>
      <c r="O37" s="1">
        <f>L37-C37</f>
        <v>3500</v>
      </c>
      <c r="P37" s="1"/>
    </row>
    <row r="38" spans="1:16" x14ac:dyDescent="0.2">
      <c r="A38">
        <v>37</v>
      </c>
      <c r="B38">
        <v>0.14000000000000001</v>
      </c>
      <c r="C38">
        <f t="shared" si="0"/>
        <v>4200</v>
      </c>
      <c r="D38">
        <v>37</v>
      </c>
      <c r="E38">
        <f>15300-150*D38</f>
        <v>9750</v>
      </c>
      <c r="F38" s="7">
        <f>(B38*SQRT(20000)+(1-B38)*SQRT(50000))^2</f>
        <v>44986.764605685457</v>
      </c>
      <c r="G38" s="7">
        <f>B38*20000+(1-B38)*50000-F38</f>
        <v>813.23539431454265</v>
      </c>
      <c r="H38" s="7">
        <f>C38+G38</f>
        <v>5013.2353943145426</v>
      </c>
      <c r="I38" s="7">
        <f>17500-333*D38</f>
        <v>5179</v>
      </c>
      <c r="J38" s="7">
        <f>17500-666*D38</f>
        <v>-7142</v>
      </c>
      <c r="K38" s="7">
        <f>C38-J38</f>
        <v>11342</v>
      </c>
      <c r="L38" s="1">
        <v>8000</v>
      </c>
      <c r="M38" s="13">
        <f>I38-L38</f>
        <v>-2821</v>
      </c>
      <c r="N38" s="1"/>
      <c r="O38" s="1">
        <f>L38-C38</f>
        <v>3800</v>
      </c>
      <c r="P38" s="1"/>
    </row>
    <row r="39" spans="1:16" x14ac:dyDescent="0.2">
      <c r="A39">
        <v>38</v>
      </c>
      <c r="B39">
        <v>0.13</v>
      </c>
      <c r="C39">
        <f t="shared" si="0"/>
        <v>3900</v>
      </c>
      <c r="D39">
        <v>38</v>
      </c>
      <c r="E39">
        <f>15300-150*D39</f>
        <v>9600</v>
      </c>
      <c r="F39" s="7">
        <f>(B39*SQRT(20000)+(1-B39)*SQRT(50000))^2</f>
        <v>45336.072067300876</v>
      </c>
      <c r="G39" s="7">
        <f>B39*20000+(1-B39)*50000-F39</f>
        <v>763.92793269912363</v>
      </c>
      <c r="H39" s="7">
        <f>C39+G39</f>
        <v>4663.9279326991236</v>
      </c>
      <c r="I39" s="7">
        <f>17500-333*D39</f>
        <v>4846</v>
      </c>
      <c r="J39" s="7">
        <f>17500-666*D39</f>
        <v>-7808</v>
      </c>
      <c r="K39" s="7">
        <f>C39-J39</f>
        <v>11708</v>
      </c>
      <c r="L39" s="1">
        <v>8000</v>
      </c>
      <c r="M39" s="13">
        <f>I39-L39</f>
        <v>-3154</v>
      </c>
      <c r="N39" s="1"/>
      <c r="O39" s="1">
        <f>L39-C39</f>
        <v>4100</v>
      </c>
      <c r="P39" s="1"/>
    </row>
    <row r="40" spans="1:16" x14ac:dyDescent="0.2">
      <c r="A40">
        <v>39</v>
      </c>
      <c r="B40">
        <v>0.12</v>
      </c>
      <c r="C40">
        <f t="shared" si="0"/>
        <v>3600</v>
      </c>
      <c r="D40">
        <v>39</v>
      </c>
      <c r="E40">
        <f>15300-150*D40</f>
        <v>9450</v>
      </c>
      <c r="F40" s="7">
        <f>(B40*SQRT(20000)+(1-B40)*SQRT(50000))^2</f>
        <v>45686.73041827562</v>
      </c>
      <c r="G40" s="7">
        <f>B40*20000+(1-B40)*50000-F40</f>
        <v>713.26958172438026</v>
      </c>
      <c r="H40" s="7">
        <f>C40+G40</f>
        <v>4313.2695817243803</v>
      </c>
      <c r="I40" s="7">
        <f>17500-333*D40</f>
        <v>4513</v>
      </c>
      <c r="J40" s="7">
        <f>17500-666*D40</f>
        <v>-8474</v>
      </c>
      <c r="K40" s="7">
        <f>C40-J40</f>
        <v>12074</v>
      </c>
      <c r="L40" s="1">
        <v>8000</v>
      </c>
      <c r="M40" s="13">
        <f>I40-L40</f>
        <v>-3487</v>
      </c>
      <c r="N40" s="1"/>
      <c r="O40" s="1">
        <f>L40-C40</f>
        <v>4400</v>
      </c>
      <c r="P40" s="1"/>
    </row>
    <row r="41" spans="1:16" x14ac:dyDescent="0.2">
      <c r="A41">
        <v>40</v>
      </c>
      <c r="B41">
        <v>0.11</v>
      </c>
      <c r="C41">
        <f t="shared" si="0"/>
        <v>3300</v>
      </c>
      <c r="D41">
        <v>40</v>
      </c>
      <c r="E41">
        <f>15300-150*D41</f>
        <v>9300</v>
      </c>
      <c r="F41" s="7">
        <f>(B41*SQRT(20000)+(1-B41)*SQRT(50000))^2</f>
        <v>46038.739658609687</v>
      </c>
      <c r="G41" s="7">
        <f>B41*20000+(1-B41)*50000-F41</f>
        <v>661.26034139031253</v>
      </c>
      <c r="H41" s="7">
        <f>C41+G41</f>
        <v>3961.2603413903125</v>
      </c>
      <c r="I41" s="7">
        <f>17500-333*D41</f>
        <v>4180</v>
      </c>
      <c r="J41" s="7">
        <f>17500-666*D41</f>
        <v>-9140</v>
      </c>
      <c r="K41" s="7">
        <f>C41-J41</f>
        <v>12440</v>
      </c>
      <c r="L41" s="1">
        <v>8000</v>
      </c>
      <c r="M41" s="13">
        <f>I41-L41</f>
        <v>-3820</v>
      </c>
      <c r="N41" s="1"/>
      <c r="O41" s="1">
        <f>L41-C41</f>
        <v>4700</v>
      </c>
      <c r="P41" s="1"/>
    </row>
    <row r="42" spans="1:16" x14ac:dyDescent="0.2">
      <c r="A42">
        <v>41</v>
      </c>
      <c r="B42">
        <v>0.1</v>
      </c>
      <c r="C42">
        <f t="shared" si="0"/>
        <v>3000</v>
      </c>
      <c r="D42">
        <v>41</v>
      </c>
      <c r="E42">
        <f>15300-150*D42</f>
        <v>9150</v>
      </c>
      <c r="F42" s="7">
        <f>(B42*SQRT(20000)+(1-B42)*SQRT(50000))^2</f>
        <v>46392.099788303087</v>
      </c>
      <c r="G42" s="7">
        <f>B42*20000+(1-B42)*50000-F42</f>
        <v>607.90021169691317</v>
      </c>
      <c r="H42" s="7">
        <f>C42+G42</f>
        <v>3607.9002116969132</v>
      </c>
      <c r="I42" s="7">
        <f>17500-333*D42</f>
        <v>3847</v>
      </c>
      <c r="J42" s="7">
        <f>17500-666*D42</f>
        <v>-9806</v>
      </c>
      <c r="K42" s="7">
        <f>C42-J42</f>
        <v>12806</v>
      </c>
      <c r="L42" s="1">
        <v>8000</v>
      </c>
      <c r="M42" s="13">
        <f>I42-L42</f>
        <v>-4153</v>
      </c>
      <c r="N42" s="1"/>
      <c r="O42" s="1">
        <f>L42-C42</f>
        <v>5000</v>
      </c>
      <c r="P42" s="1"/>
    </row>
    <row r="43" spans="1:16" x14ac:dyDescent="0.2">
      <c r="A43">
        <v>42</v>
      </c>
      <c r="B43">
        <v>0.09</v>
      </c>
      <c r="C43">
        <f t="shared" si="0"/>
        <v>2700</v>
      </c>
      <c r="D43">
        <v>42</v>
      </c>
      <c r="E43">
        <f>15300-150*D43</f>
        <v>9000</v>
      </c>
      <c r="F43" s="7">
        <f>(B43*SQRT(20000)+(1-B43)*SQRT(50000))^2</f>
        <v>46746.810807355803</v>
      </c>
      <c r="G43" s="7">
        <f>B43*20000+(1-B43)*50000-F43</f>
        <v>553.18919264419674</v>
      </c>
      <c r="H43" s="7">
        <f>C43+G43</f>
        <v>3253.1891926441967</v>
      </c>
      <c r="I43" s="7">
        <f>17500-333*D43</f>
        <v>3514</v>
      </c>
      <c r="J43" s="7">
        <f>17500-666*D43</f>
        <v>-10472</v>
      </c>
      <c r="K43" s="7">
        <f>C43-J43</f>
        <v>13172</v>
      </c>
      <c r="L43" s="1">
        <v>8000</v>
      </c>
      <c r="M43" s="13">
        <f>I43-L43</f>
        <v>-4486</v>
      </c>
      <c r="N43" s="1"/>
      <c r="O43" s="1">
        <f>L43-C43</f>
        <v>5300</v>
      </c>
      <c r="P43" s="1"/>
    </row>
    <row r="44" spans="1:16" x14ac:dyDescent="0.2">
      <c r="A44">
        <v>43</v>
      </c>
      <c r="B44">
        <v>0.08</v>
      </c>
      <c r="C44">
        <f t="shared" si="0"/>
        <v>2400</v>
      </c>
      <c r="D44">
        <v>43</v>
      </c>
      <c r="E44">
        <f>15300-150*D44</f>
        <v>8850</v>
      </c>
      <c r="F44" s="7">
        <f>(B44*SQRT(20000)+(1-B44)*SQRT(50000))^2</f>
        <v>47102.872715767859</v>
      </c>
      <c r="G44" s="7">
        <f>B44*20000+(1-B44)*50000-F44</f>
        <v>497.12728423214139</v>
      </c>
      <c r="H44" s="7">
        <f>C44+G44</f>
        <v>2897.1272842321414</v>
      </c>
      <c r="I44" s="7">
        <f>17500-333*D44</f>
        <v>3181</v>
      </c>
      <c r="J44" s="7">
        <f>17500-666*D44</f>
        <v>-11138</v>
      </c>
      <c r="K44" s="7">
        <f>C44-J44</f>
        <v>13538</v>
      </c>
      <c r="L44" s="1">
        <v>8000</v>
      </c>
      <c r="M44" s="13">
        <f>I44-L44</f>
        <v>-4819</v>
      </c>
      <c r="N44" s="1"/>
      <c r="O44" s="1">
        <f>L44-C44</f>
        <v>5600</v>
      </c>
      <c r="P44" s="1"/>
    </row>
    <row r="45" spans="1:16" x14ac:dyDescent="0.2">
      <c r="A45">
        <v>44</v>
      </c>
      <c r="B45">
        <v>7.0000000000000007E-2</v>
      </c>
      <c r="C45">
        <f t="shared" si="0"/>
        <v>2100</v>
      </c>
      <c r="D45">
        <v>44</v>
      </c>
      <c r="E45">
        <f>15300-150*D45</f>
        <v>8700</v>
      </c>
      <c r="F45" s="7">
        <f>(B45*SQRT(20000)+(1-B45)*SQRT(50000))^2</f>
        <v>47460.285513539216</v>
      </c>
      <c r="G45" s="7">
        <f>B45*20000+(1-B45)*50000-F45</f>
        <v>439.71448646078352</v>
      </c>
      <c r="H45" s="7">
        <f>C45+G45</f>
        <v>2539.7144864607835</v>
      </c>
      <c r="I45" s="7">
        <f>17500-333*D45</f>
        <v>2848</v>
      </c>
      <c r="J45" s="7">
        <f>17500-666*D45</f>
        <v>-11804</v>
      </c>
      <c r="K45" s="7">
        <f>C45-J45</f>
        <v>13904</v>
      </c>
      <c r="L45" s="1">
        <v>8000</v>
      </c>
      <c r="M45" s="13">
        <f>I45-L45</f>
        <v>-5152</v>
      </c>
      <c r="N45" s="1"/>
      <c r="O45" s="1">
        <f>L45-C45</f>
        <v>5900</v>
      </c>
      <c r="P45" s="1"/>
    </row>
    <row r="46" spans="1:16" x14ac:dyDescent="0.2">
      <c r="A46">
        <v>45</v>
      </c>
      <c r="B46">
        <v>0.06</v>
      </c>
      <c r="C46">
        <f t="shared" si="0"/>
        <v>1800</v>
      </c>
      <c r="D46">
        <v>45</v>
      </c>
      <c r="E46">
        <f>15300-150*D46</f>
        <v>8550</v>
      </c>
      <c r="F46" s="7">
        <f>(B46*SQRT(20000)+(1-B46)*SQRT(50000))^2</f>
        <v>47819.049200669935</v>
      </c>
      <c r="G46" s="7">
        <f>B46*20000+(1-B46)*50000-F46</f>
        <v>380.95079933006491</v>
      </c>
      <c r="H46" s="7">
        <f>C46+G46</f>
        <v>2180.9507993300649</v>
      </c>
      <c r="I46" s="7">
        <f>17500-333*D46</f>
        <v>2515</v>
      </c>
      <c r="J46" s="7">
        <f>17500-666*D46</f>
        <v>-12470</v>
      </c>
      <c r="K46" s="7">
        <f>C46-J46</f>
        <v>14270</v>
      </c>
      <c r="L46" s="1">
        <v>8000</v>
      </c>
      <c r="M46" s="13">
        <f>I46-L46</f>
        <v>-5485</v>
      </c>
      <c r="N46" s="1"/>
      <c r="O46" s="1">
        <f>L46-C46</f>
        <v>6200</v>
      </c>
      <c r="P46" s="1"/>
    </row>
    <row r="47" spans="1:16" x14ac:dyDescent="0.2">
      <c r="A47">
        <v>46</v>
      </c>
      <c r="B47">
        <v>0.05</v>
      </c>
      <c r="C47">
        <f t="shared" si="0"/>
        <v>1500</v>
      </c>
      <c r="D47">
        <v>46</v>
      </c>
      <c r="E47">
        <f>15300-150*D47</f>
        <v>8400</v>
      </c>
      <c r="F47" s="7">
        <f>(B47*SQRT(20000)+(1-B47)*SQRT(50000))^2</f>
        <v>48179.163777159964</v>
      </c>
      <c r="G47" s="7">
        <f>B47*20000+(1-B47)*50000-F47</f>
        <v>320.8362228400365</v>
      </c>
      <c r="H47" s="7">
        <f>C47+G47</f>
        <v>1820.8362228400365</v>
      </c>
      <c r="I47" s="7">
        <f>17500-333*D47</f>
        <v>2182</v>
      </c>
      <c r="J47" s="7">
        <f>17500-666*D47</f>
        <v>-13136</v>
      </c>
      <c r="K47" s="7">
        <f>C47-J47</f>
        <v>14636</v>
      </c>
      <c r="L47" s="1">
        <v>8000</v>
      </c>
      <c r="M47" s="13">
        <f>I47-L47</f>
        <v>-5818</v>
      </c>
      <c r="N47" s="1"/>
      <c r="O47" s="1">
        <f>L47-C47</f>
        <v>6500</v>
      </c>
      <c r="P47" s="1"/>
    </row>
    <row r="48" spans="1:16" x14ac:dyDescent="0.2">
      <c r="A48">
        <v>47</v>
      </c>
      <c r="B48">
        <v>0.04</v>
      </c>
      <c r="C48">
        <f t="shared" si="0"/>
        <v>1200</v>
      </c>
      <c r="D48">
        <v>47</v>
      </c>
      <c r="E48">
        <f>15300-150*D48</f>
        <v>8250</v>
      </c>
      <c r="F48" s="7">
        <f>(B48*SQRT(20000)+(1-B48)*SQRT(50000))^2</f>
        <v>48540.629243009302</v>
      </c>
      <c r="G48" s="7">
        <f>B48*20000+(1-B48)*50000-F48</f>
        <v>259.37075699069828</v>
      </c>
      <c r="H48" s="7">
        <f>C48+G48</f>
        <v>1459.3707569906983</v>
      </c>
      <c r="I48" s="7">
        <f>17500-333*D48</f>
        <v>1849</v>
      </c>
      <c r="J48" s="7">
        <f>17500-666*D48</f>
        <v>-13802</v>
      </c>
      <c r="K48" s="7">
        <f>C48-J48</f>
        <v>15002</v>
      </c>
      <c r="L48" s="1">
        <v>8000</v>
      </c>
      <c r="M48" s="13">
        <f>I48-L48</f>
        <v>-6151</v>
      </c>
      <c r="N48" s="1"/>
      <c r="O48" s="1">
        <f>L48-C48</f>
        <v>6800</v>
      </c>
      <c r="P48" s="1"/>
    </row>
    <row r="49" spans="1:16" x14ac:dyDescent="0.2">
      <c r="A49">
        <v>48</v>
      </c>
      <c r="B49">
        <v>0.03</v>
      </c>
      <c r="C49">
        <f t="shared" si="0"/>
        <v>900</v>
      </c>
      <c r="D49">
        <v>48</v>
      </c>
      <c r="E49">
        <f>15300-150*D49</f>
        <v>8100</v>
      </c>
      <c r="F49" s="7">
        <f>(B49*SQRT(20000)+(1-B49)*SQRT(50000))^2</f>
        <v>48903.445598217993</v>
      </c>
      <c r="G49" s="7">
        <f>B49*20000+(1-B49)*50000-F49</f>
        <v>196.55440178200661</v>
      </c>
      <c r="H49" s="7">
        <f>C49+G49</f>
        <v>1096.5544017820066</v>
      </c>
      <c r="I49" s="7">
        <f>17500-333*D49</f>
        <v>1516</v>
      </c>
      <c r="J49" s="7">
        <f>17500-666*D49</f>
        <v>-14468</v>
      </c>
      <c r="K49" s="7">
        <f>C49-J49</f>
        <v>15368</v>
      </c>
      <c r="L49" s="1">
        <v>8000</v>
      </c>
      <c r="M49" s="13">
        <f>I49-L49</f>
        <v>-6484</v>
      </c>
      <c r="N49" s="1"/>
      <c r="O49" s="1">
        <f>L49-C49</f>
        <v>7100</v>
      </c>
      <c r="P49" s="1"/>
    </row>
    <row r="50" spans="1:16" x14ac:dyDescent="0.2">
      <c r="A50">
        <v>49</v>
      </c>
      <c r="B50">
        <v>0.02</v>
      </c>
      <c r="C50">
        <f t="shared" si="0"/>
        <v>600</v>
      </c>
      <c r="D50">
        <v>49</v>
      </c>
      <c r="E50">
        <f>15300-150*D50</f>
        <v>7950</v>
      </c>
      <c r="F50" s="7">
        <f>(B50*SQRT(20000)+(1-B50)*SQRT(50000))^2</f>
        <v>49267.612842786002</v>
      </c>
      <c r="G50" s="7">
        <f>B50*20000+(1-B50)*50000-F50</f>
        <v>132.38715721399785</v>
      </c>
      <c r="H50" s="7">
        <f>C50+G50</f>
        <v>732.38715721399785</v>
      </c>
      <c r="I50" s="7">
        <f>17500-333*D50</f>
        <v>1183</v>
      </c>
      <c r="J50" s="7">
        <f>17500-666*D50</f>
        <v>-15134</v>
      </c>
      <c r="K50" s="7">
        <f>C50-J50</f>
        <v>15734</v>
      </c>
      <c r="L50" s="1">
        <v>8000</v>
      </c>
      <c r="M50" s="13">
        <f>I50-L50</f>
        <v>-6817</v>
      </c>
      <c r="N50" s="1"/>
      <c r="O50" s="1">
        <f>L50-C50</f>
        <v>7400</v>
      </c>
      <c r="P50" s="1"/>
    </row>
    <row r="51" spans="1:16" x14ac:dyDescent="0.2">
      <c r="A51">
        <v>50</v>
      </c>
      <c r="B51">
        <v>0.01</v>
      </c>
      <c r="C51">
        <f t="shared" si="0"/>
        <v>300</v>
      </c>
      <c r="D51">
        <v>50</v>
      </c>
      <c r="E51">
        <f>15300-150*D51</f>
        <v>7800</v>
      </c>
      <c r="F51" s="7">
        <f>(B51*SQRT(20000)+(1-B51)*SQRT(50000))^2</f>
        <v>49633.130976713335</v>
      </c>
      <c r="G51" s="7">
        <f>B51*20000+(1-B51)*50000-F51</f>
        <v>66.869023286664742</v>
      </c>
      <c r="H51" s="7">
        <f>C51+G51</f>
        <v>366.86902328666474</v>
      </c>
      <c r="I51" s="7">
        <f>17500-333*D51</f>
        <v>850</v>
      </c>
      <c r="J51" s="7">
        <f>17500-666*D51</f>
        <v>-15800</v>
      </c>
      <c r="K51" s="7">
        <f>C51-J51</f>
        <v>16100</v>
      </c>
      <c r="L51" s="1">
        <v>8000</v>
      </c>
      <c r="M51" s="13">
        <f>I51-L51</f>
        <v>-7150</v>
      </c>
      <c r="N51" s="1"/>
      <c r="O51" s="1">
        <f>L51-C51</f>
        <v>7700</v>
      </c>
      <c r="P51" s="1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graphs</vt:lpstr>
      <vt:lpstr>mandate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Pauline Mourot</dc:creator>
  <cp:lastModifiedBy>Mourot, Pauline</cp:lastModifiedBy>
  <dcterms:created xsi:type="dcterms:W3CDTF">2022-01-05T09:29:32Z</dcterms:created>
  <dcterms:modified xsi:type="dcterms:W3CDTF">2026-03-16T21:42:18Z</dcterms:modified>
</cp:coreProperties>
</file>